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worksheets/sheet5.xml" ContentType="application/vnd.openxmlformats-officedocument.spreadsheetml.worksheet+xml"/>
  <Override PartName="/xl/comments2.xml" ContentType="application/vnd.openxmlformats-officedocument.spreadsheetml.comments+xml"/>
  <Override PartName="/xl/worksheets/sheet6.xml" ContentType="application/vnd.openxmlformats-officedocument.spreadsheetml.worksheet+xml"/>
  <Override PartName="/xl/comments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4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a2618105e14c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d32273f42c647fb"/>
    <x:sheet xmlns:r="http://schemas.openxmlformats.org/officeDocument/2006/relationships" name="data_sources" sheetId="2" r:id="R1b5e3671564b433d"/>
    <x:sheet xmlns:r="http://schemas.openxmlformats.org/officeDocument/2006/relationships" name="commodity_master" sheetId="3" r:id="R32ed8e99a3c44352"/>
    <x:sheet xmlns:r="http://schemas.openxmlformats.org/officeDocument/2006/relationships" name="commodity_price" sheetId="4" r:id="Rd3a62f649ef94a6a"/>
    <x:sheet xmlns:r="http://schemas.openxmlformats.org/officeDocument/2006/relationships" name="energy_price" sheetId="5" r:id="Ref4de2e253a148b2"/>
    <x:sheet xmlns:r="http://schemas.openxmlformats.org/officeDocument/2006/relationships" name="resource_supply" sheetId="6" r:id="R521cff375ca348f8"/>
    <x:sheet xmlns:r="http://schemas.openxmlformats.org/officeDocument/2006/relationships" name="regulation_events" sheetId="7" r:id="Re345b53fbea24aff"/>
    <x:sheet xmlns:r="http://schemas.openxmlformats.org/officeDocument/2006/relationships" name="country_risk" sheetId="8" r:id="Rdba70ca8953a430e"/>
    <x:sheet xmlns:r="http://schemas.openxmlformats.org/officeDocument/2006/relationships" name="commodity_mapping_master" sheetId="9" r:id="R8c0722b6be8b44f9"/>
    <x:sheet xmlns:r="http://schemas.openxmlformats.org/officeDocument/2006/relationships" name="process_energy_model" sheetId="10" r:id="Reb40049ea9ed4b7e"/>
    <x:sheet xmlns:r="http://schemas.openxmlformats.org/officeDocument/2006/relationships" name="wave_model" sheetId="11" r:id="R01b36513a9e148b5"/>
    <x:sheet xmlns:r="http://schemas.openxmlformats.org/officeDocument/2006/relationships" name="products" sheetId="12" r:id="Ra222e20d212f4cf2"/>
    <x:sheet xmlns:r="http://schemas.openxmlformats.org/officeDocument/2006/relationships" name="bom_parts" sheetId="13" r:id="Rc1a9a34f602a486e"/>
    <x:sheet xmlns:r="http://schemas.openxmlformats.org/officeDocument/2006/relationships" name="scenarios" sheetId="14" r:id="R443147ebcc214402"/>
    <x:sheet xmlns:r="http://schemas.openxmlformats.org/officeDocument/2006/relationships" name="calc_results" sheetId="15" r:id="Rb49862d4897d44d3"/>
    <x:sheet xmlns:r="http://schemas.openxmlformats.org/officeDocument/2006/relationships" name="dashboard" sheetId="16" r:id="Racbee11fa7eb4f0b"/>
    <x:sheet xmlns:r="http://schemas.openxmlformats.org/officeDocument/2006/relationships" name="mds_raw" sheetId="17" r:id="R2bbd0ceb3a9045f5"/>
    <x:sheet xmlns:r="http://schemas.openxmlformats.org/officeDocument/2006/relationships" name="mds_mapping" sheetId="18" r:id="R7150c46e1fee4a99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2" authorId="0">
      <x:text>
        <x:r>
          <x:t>Source examples: https://www.lme.com/ ; https://www.fastmarkets.com/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A2" authorId="0">
      <x:text>
        <x:r>
          <x:t>Source example: https://www.iea.org/data-and-statistics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A2" authorId="0">
      <x:text>
        <x:r>
          <x:t>Source example: https://www.usgs.gov/centers/national-minerals-information-center</x:t>
        </x:r>
      </x:text>
    </x:comment>
  </x:commentList>
</x:comments>
</file>

<file path=xl/comments4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Blue cells are editable drivers/IDs; black cells are formulas.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yyyy-mm-dd"/>
    <x:numFmt numFmtId="165" formatCode="0.0%"/>
    <x:numFmt numFmtId="166" formatCode="0.000"/>
    <x:numFmt numFmtId="167" formatCode="0.00x"/>
    <x:numFmt numFmtId="168" formatCode="0.0"/>
  </x:numFmts>
  <x:fonts count="10">
    <x:font>
      <x:sz val="11"/>
      <x:color theme="1"/>
      <x:name val="Calibri"/>
      <x:family val="2"/>
      <x:scheme val="minor"/>
    </x:font>
    <x:font>
      <x:b/>
      <x:sz val="16"/>
    </x:font>
    <x:font>
      <x:b/>
    </x:font>
    <x:font>
      <x:b/>
      <x:color rgb="00FFFFFF"/>
    </x:font>
    <x:font>
      <x:color rgb="00666666"/>
    </x:font>
    <x:font>
      <x:color rgb="00008000"/>
    </x:font>
    <x:font>
      <x:b/>
      <x:color rgb="00800080"/>
    </x:font>
    <x:font>
      <x:color rgb="000000FF"/>
    </x:font>
    <x:font>
      <x:color rgb="00000000"/>
    </x:font>
    <x:font>
      <x:b/>
      <x:color rgb="00008B8B"/>
    </x:font>
  </x:fonts>
  <x:fills count="5">
    <x:fill>
      <x:patternFill patternType="none"/>
    </x:fill>
    <x:fill>
      <x:patternFill patternType="gray125"/>
    </x:fill>
    <x:fill>
      <x:patternFill patternType="solid">
        <x:fgColor rgb="000D2448"/>
      </x:patternFill>
    </x:fill>
    <x:fill>
      <x:patternFill patternType="solid">
        <x:fgColor rgb="00DCEBFF"/>
      </x:patternFill>
    </x:fill>
    <x:fill>
      <x:patternFill patternType="solid">
        <x:fgColor rgb="00DFF7F7"/>
      </x:patternFill>
    </x:fill>
  </x:fills>
  <x:borders count="2">
    <x:border>
      <x:left/>
      <x:right/>
      <x:top/>
      <x:bottom/>
      <x:diagonal/>
    </x:border>
    <x:border>
      <x:bottom style="thin">
        <x:color rgb="00D9E2F2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1" xfId="0"/>
    <x:xf numFmtId="0" fontId="0" fillId="0" borderId="1" xfId="0"/>
    <x:xf numFmtId="0" fontId="2" fillId="0" borderId="0" xfId="0"/>
    <x:xf numFmtId="0" fontId="3" fillId="2" borderId="1" xfId="0" applyAlignment="1">
      <x:alignment horizontal="center" vertical="center"/>
    </x:xf>
    <x:xf numFmtId="0" fontId="4" fillId="0" borderId="0" xfId="0"/>
    <x:xf numFmtId="0" fontId="5" fillId="0" borderId="0" xfId="0"/>
    <x:xf numFmtId="164" fontId="5" fillId="0" borderId="0" xfId="0"/>
    <x:xf numFmtId="4" fontId="5" fillId="0" borderId="0" xfId="0"/>
    <x:xf numFmtId="3" fontId="5" fillId="0" borderId="0" xfId="0"/>
    <x:xf numFmtId="1" fontId="5" fillId="0" borderId="0" xfId="0"/>
    <x:xf numFmtId="165" fontId="5" fillId="0" borderId="0" xfId="0"/>
    <x:xf numFmtId="0" fontId="6" fillId="0" borderId="0" xfId="0"/>
    <x:xf numFmtId="166" fontId="4" fillId="0" borderId="0" xfId="0"/>
    <x:xf numFmtId="167" fontId="4" fillId="0" borderId="0" xfId="0"/>
    <x:xf numFmtId="0" fontId="7" fillId="3" borderId="0" xfId="0"/>
    <x:xf numFmtId="165" fontId="7" fillId="0" borderId="0" xfId="0"/>
    <x:xf numFmtId="164" fontId="7" fillId="0" borderId="0" xfId="0"/>
    <x:xf numFmtId="0" fontId="8" fillId="0" borderId="0" xfId="0"/>
    <x:xf numFmtId="4" fontId="8" fillId="0" borderId="0" xfId="0"/>
    <x:xf numFmtId="165" fontId="8" fillId="0" borderId="0" xfId="0"/>
    <x:xf numFmtId="1" fontId="8" fillId="0" borderId="0" xfId="0"/>
    <x:xf numFmtId="0" fontId="9" fillId="0" borderId="0" xfId="0"/>
    <x:xf numFmtId="0" fontId="7" fillId="3" borderId="1" xfId="0"/>
    <x:xf numFmtId="0" fontId="8" fillId="4" borderId="1" xfId="0"/>
    <x:xf numFmtId="4" fontId="8" fillId="4" borderId="1" xfId="0"/>
    <x:xf numFmtId="165" fontId="8" fillId="4" borderId="1" xfId="0"/>
    <x:xf numFmtId="168" fontId="8" fillId="4" borderId="1" xfId="0"/>
    <x:xf numFmtId="1" fontId="8" fillId="4" borderId="1" xfId="0"/>
  </x:cellXfs>
  <x:cellStyles count="1">
    <x:cellStyle name="Normal" xfId="0"/>
  </x:cellStyles>
  <x:dxfs count="2">
    <x:dxf>
      <x:fill>
        <x:patternFill>
          <x:bgColor rgb="00FCE4E4"/>
        </x:patternFill>
      </x:fill>
    </x:dxf>
    <x:dxf>
      <x:fill>
        <x:patternFill>
          <x:bgColor rgb="00FFF0D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ebb051002f4547" /><Relationship Type="http://schemas.openxmlformats.org/officeDocument/2006/relationships/theme" Target="/xl/theme/theme1.xml" Id="R41816aa29d9b413d" /><Relationship Type="http://schemas.openxmlformats.org/officeDocument/2006/relationships/sharedStrings" Target="/xl/sharedStrings.xml" Id="Rd0c8a89d524c40b6" /><Relationship Type="http://schemas.openxmlformats.org/officeDocument/2006/relationships/worksheet" Target="/xl/worksheets/sheet1.xml" Id="Rad32273f42c647fb" /><Relationship Type="http://schemas.openxmlformats.org/officeDocument/2006/relationships/worksheet" Target="/xl/worksheets/sheet2.xml" Id="R1b5e3671564b433d" /><Relationship Type="http://schemas.openxmlformats.org/officeDocument/2006/relationships/worksheet" Target="/xl/worksheets/sheet3.xml" Id="R32ed8e99a3c44352" /><Relationship Type="http://schemas.openxmlformats.org/officeDocument/2006/relationships/worksheet" Target="/xl/worksheets/sheet4.xml" Id="Rd3a62f649ef94a6a" /><Relationship Type="http://schemas.openxmlformats.org/officeDocument/2006/relationships/worksheet" Target="/xl/worksheets/sheet5.xml" Id="Ref4de2e253a148b2" /><Relationship Type="http://schemas.openxmlformats.org/officeDocument/2006/relationships/worksheet" Target="/xl/worksheets/sheet6.xml" Id="R521cff375ca348f8" /><Relationship Type="http://schemas.openxmlformats.org/officeDocument/2006/relationships/worksheet" Target="/xl/worksheets/sheet7.xml" Id="Re345b53fbea24aff" /><Relationship Type="http://schemas.openxmlformats.org/officeDocument/2006/relationships/worksheet" Target="/xl/worksheets/sheet8.xml" Id="Rdba70ca8953a430e" /><Relationship Type="http://schemas.openxmlformats.org/officeDocument/2006/relationships/worksheet" Target="/xl/worksheets/sheet9.xml" Id="R8c0722b6be8b44f9" /><Relationship Type="http://schemas.openxmlformats.org/officeDocument/2006/relationships/worksheet" Target="/xl/worksheets/sheet10.xml" Id="Reb40049ea9ed4b7e" /><Relationship Type="http://schemas.openxmlformats.org/officeDocument/2006/relationships/worksheet" Target="/xl/worksheets/sheet11.xml" Id="R01b36513a9e148b5" /><Relationship Type="http://schemas.openxmlformats.org/officeDocument/2006/relationships/worksheet" Target="/xl/worksheets/sheet12.xml" Id="Ra222e20d212f4cf2" /><Relationship Type="http://schemas.openxmlformats.org/officeDocument/2006/relationships/worksheet" Target="/xl/worksheets/sheet13.xml" Id="Rc1a9a34f602a486e" /><Relationship Type="http://schemas.openxmlformats.org/officeDocument/2006/relationships/worksheet" Target="/xl/worksheets/sheet14.xml" Id="R443147ebcc214402" /><Relationship Type="http://schemas.openxmlformats.org/officeDocument/2006/relationships/worksheet" Target="/xl/worksheets/sheet15.xml" Id="Rb49862d4897d44d3" /><Relationship Type="http://schemas.openxmlformats.org/officeDocument/2006/relationships/worksheet" Target="/xl/worksheets/sheet16.xml" Id="Racbee11fa7eb4f0b" /><Relationship Type="http://schemas.openxmlformats.org/officeDocument/2006/relationships/worksheet" Target="/xl/worksheets/sheet17.xml" Id="R2bbd0ceb3a9045f5" /><Relationship Type="http://schemas.openxmlformats.org/officeDocument/2006/relationships/worksheet" Target="/xl/worksheets/sheet18.xml" Id="R7150c46e1fee4a99" /><Relationship Type="http://schemas.microsoft.com/office/2017/10/relationships/person" Target="/xl/persons/person.xml" Id="Rf45b7c849a474c6e" /></Relationships>
</file>

<file path=xl/persons/person.xml><?xml version="1.0" encoding="utf-8"?>
<xltc:personList xmlns:xltc="http://schemas.microsoft.com/office/spreadsheetml/2018/threadedcomments">
  <xltc:person displayName="OpenAI" id="{3AF97E47-DD96-0797-3258-6DE39915A3E0}"/>
  <xltc:person displayName="OpenAI" id="{92D2712D-665D-27F0-0189-8F1597BF1590}"/>
  <xltc:person displayName="OpenAI" id="{F95F7D16-CC24-86D0-9DCF-F947E06D5CD6}"/>
  <xltc:person displayName="OpenAI" id="{CE4C6C2F-E44A-90D2-6516-7D2F3F1417F4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9558e49c4c0a422c" /><Relationship Type="http://schemas.openxmlformats.org/officeDocument/2006/relationships/vmlDrawing" Target="/xl/drawings/vmldrawing.vml" Id="R54caa263a5d140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2.xml" Id="R06ff5e0fe1234c92" /><Relationship Type="http://schemas.openxmlformats.org/officeDocument/2006/relationships/vmlDrawing" Target="/xl/drawings/vmldrawing2.vml" Id="R8bd0e1ecd61e44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3.xml" Id="Rf21fbf2823734ae8" /><Relationship Type="http://schemas.openxmlformats.org/officeDocument/2006/relationships/vmlDrawing" Target="/xl/drawings/vmldrawing3.vml" Id="R0eac2da648d84b2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comments" Target="/xl/comments4.xml" Id="Rd1ed23d2ebac40d8" /><Relationship Type="http://schemas.openxmlformats.org/officeDocument/2006/relationships/vmlDrawing" Target="/xl/drawings/vmldrawing4.vml" Id="R76396cfe9aae47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95" customWidth="1"/>
  </x:cols>
  <x:sheetData>
    <x:row r="1" ht="22" customHeight="1">
      <x:c r="A1" s="1" t="inlineStr">
        <x:is>
          <x:t xml:space="preserve">Decision Risk Lab - MVP Data Workbook</x:t>
        </x:is>
      </x:c>
      <x:c r="B1" s="2" t="n"/>
    </x:row>
    <x:row r="3">
      <x:c r="A3" s="3" t="inlineStr">
        <x:is>
          <x:t xml:space="preserve">Purpose</x:t>
        </x:is>
      </x:c>
      <x:c r="B3" t="inlineStr">
        <x:is>
          <x:t xml:space="preserve">Raw external data + BOM mapping + scenario calculation template</x:t>
        </x:is>
      </x:c>
    </x:row>
    <x:row r="5">
      <x:c r="A5" s="3" t="inlineStr">
        <x:is>
          <x:t xml:space="preserve">Color convention</x:t>
        </x:is>
      </x:c>
    </x:row>
    <x:row r="6">
      <x:c r="A6" t="inlineStr">
        <x:is>
          <x:t xml:space="preserve">Blue text</x:t>
        </x:is>
      </x:c>
      <x:c r="B6" t="inlineStr">
        <x:is>
          <x:t xml:space="preserve">User-editable inputs / scenario values</x:t>
        </x:is>
      </x:c>
    </x:row>
    <x:row r="7">
      <x:c r="A7" t="inlineStr">
        <x:is>
          <x:t xml:space="preserve">Black text</x:t>
        </x:is>
      </x:c>
      <x:c r="B7" t="inlineStr">
        <x:is>
          <x:t xml:space="preserve">Formulas / calculated cells</x:t>
        </x:is>
      </x:c>
    </x:row>
    <x:row r="8">
      <x:c r="A8" t="inlineStr">
        <x:is>
          <x:t xml:space="preserve">Green text</x:t>
        </x:is>
      </x:c>
      <x:c r="B8" t="inlineStr">
        <x:is>
          <x:t xml:space="preserve">Imported / linked reference data</x:t>
        </x:is>
      </x:c>
    </x:row>
    <x:row r="9">
      <x:c r="A9" t="inlineStr">
        <x:is>
          <x:t xml:space="preserve">Gray text</x:t>
        </x:is>
      </x:c>
      <x:c r="B9" t="inlineStr">
        <x:is>
          <x:t xml:space="preserve">Static constants</x:t>
        </x:is>
      </x:c>
    </x:row>
    <x:row r="10">
      <x:c r="A10" t="inlineStr">
        <x:is>
          <x:t xml:space="preserve">Orange fill</x:t>
        </x:is>
      </x:c>
      <x:c r="B10" t="inlineStr">
        <x:is>
          <x:t xml:space="preserve">Review or caution</x:t>
        </x:is>
      </x:c>
    </x:row>
    <x:row r="11">
      <x:c r="A11" t="inlineStr">
        <x:is>
          <x:t xml:space="preserve">Light red fill</x:t>
        </x:is>
      </x:c>
      <x:c r="B11" t="inlineStr">
        <x:is>
          <x:t xml:space="preserve">Error / flag</x:t>
        </x:is>
      </x:c>
    </x:row>
    <x:row r="12">
      <x:c r="A12" t="inlineStr">
        <x:is>
          <x:t xml:space="preserve">Purple text</x:t>
        </x:is>
      </x:c>
      <x:c r="B12" t="inlineStr">
        <x:is>
          <x:t xml:space="preserve">Control / logic</x:t>
        </x:is>
      </x:c>
    </x:row>
    <x:row r="13">
      <x:c r="A13" t="inlineStr">
        <x:is>
          <x:t xml:space="preserve">Teal fill</x:t>
        </x:is>
      </x:c>
      <x:c r="B13" t="inlineStr">
        <x:is>
          <x:t xml:space="preserve">KPI / dashboard anchors</x:t>
        </x:is>
      </x:c>
    </x:row>
    <x:row r="16">
      <x:c r="A16" s="3" t="inlineStr">
        <x:is>
          <x:t xml:space="preserve">Workflow</x:t>
        </x:is>
      </x:c>
    </x:row>
    <x:row r="17">
      <x:c r="A17" t="inlineStr">
        <x:is>
          <x:t xml:space="preserve">1. Update external data sheets: commodity_price, energy_price, resource_supply, regulation_events, country_risk.</x:t>
        </x:is>
      </x:c>
    </x:row>
    <x:row r="18">
      <x:c r="A18" t="inlineStr">
        <x:is>
          <x:t xml:space="preserve">2. Maintain mapping tables: commodity_mapping_master, process_energy_model, wave_model.</x:t>
        </x:is>
      </x:c>
    </x:row>
    <x:row r="19">
      <x:c r="A19" t="inlineStr">
        <x:is>
          <x:t xml:space="preserve">3. Upload / edit product BOM in bom_parts.</x:t>
        </x:is>
      </x:c>
    </x:row>
    <x:row r="20">
      <x:c r="A20" t="inlineStr">
        <x:is>
          <x:t xml:space="preserve">4. Adjust scenarios in scenarios.</x:t>
        </x:is>
      </x:c>
    </x:row>
    <x:row r="21">
      <x:c r="A21" t="inlineStr">
        <x:is>
          <x:t xml:space="preserve">5. Review dashboard and calc_results.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2" customWidth="1"/>
    <x:col min="3" max="3" width="14" customWidth="1"/>
    <x:col min="4" max="4" width="45" customWidth="1"/>
    <x:col min="5" max="5" width="18" customWidth="1"/>
    <x:col min="6" max="6" width="12" customWidth="1"/>
  </x:cols>
  <x:sheetData>
    <x:row r="1" ht="22" customHeight="1">
      <x:c r="A1" s="4" t="inlineStr">
        <x:is>
          <x:t xml:space="preserve">source_id</x:t>
        </x:is>
      </x:c>
      <x:c r="B1" s="4" t="inlineStr">
        <x:is>
          <x:t xml:space="preserve">source_name</x:t>
        </x:is>
      </x:c>
      <x:c r="C1" s="4" t="inlineStr">
        <x:is>
          <x:t xml:space="preserve">source_type</x:t>
        </x:is>
      </x:c>
      <x:c r="D1" s="4" t="inlineStr">
        <x:is>
          <x:t xml:space="preserve">base_url</x:t>
        </x:is>
      </x:c>
      <x:c r="E1" s="4" t="inlineStr">
        <x:is>
          <x:t xml:space="preserve">update_frequency</x:t>
        </x:is>
      </x:c>
      <x:c r="F1" s="4" t="inlineStr">
        <x:is>
          <x:t xml:space="preserve">status</x:t>
        </x:is>
      </x:c>
    </x:row>
    <x:row r="2">
      <x:c r="A2" s="5" t="n">
        <x:v>1</x:v>
      </x:c>
      <x:c r="B2" s="5" t="inlineStr">
        <x:is>
          <x:t xml:space="preserve">LME</x:t>
        </x:is>
      </x:c>
      <x:c r="C2" s="5" t="inlineStr">
        <x:is>
          <x:t xml:space="preserve">api</x:t>
        </x:is>
      </x:c>
      <x:c r="D2" s="5" t="inlineStr">
        <x:is>
          <x:t xml:space="preserve">https://www.lme.com/</x:t>
        </x:is>
      </x:c>
      <x:c r="E2" s="5" t="inlineStr">
        <x:is>
          <x:t xml:space="preserve">daily</x:t>
        </x:is>
      </x:c>
      <x:c r="F2" s="5" t="inlineStr">
        <x:is>
          <x:t xml:space="preserve">active</x:t>
        </x:is>
      </x:c>
    </x:row>
    <x:row r="3">
      <x:c r="A3" s="5" t="n">
        <x:v>2</x:v>
      </x:c>
      <x:c r="B3" s="5" t="inlineStr">
        <x:is>
          <x:t xml:space="preserve">IEA</x:t>
        </x:is>
      </x:c>
      <x:c r="C3" s="5" t="inlineStr">
        <x:is>
          <x:t xml:space="preserve">csv</x:t>
        </x:is>
      </x:c>
      <x:c r="D3" s="5" t="inlineStr">
        <x:is>
          <x:t xml:space="preserve">https://www.iea.org/data-and-statistics</x:t>
        </x:is>
      </x:c>
      <x:c r="E3" s="5" t="inlineStr">
        <x:is>
          <x:t xml:space="preserve">monthly</x:t>
        </x:is>
      </x:c>
      <x:c r="F3" s="5" t="inlineStr">
        <x:is>
          <x:t xml:space="preserve">active</x:t>
        </x:is>
      </x:c>
    </x:row>
    <x:row r="4">
      <x:c r="A4" s="5" t="n">
        <x:v>3</x:v>
      </x:c>
      <x:c r="B4" s="5" t="inlineStr">
        <x:is>
          <x:t xml:space="preserve">USGS</x:t>
        </x:is>
      </x:c>
      <x:c r="C4" s="5" t="inlineStr">
        <x:is>
          <x:t xml:space="preserve">csv</x:t>
        </x:is>
      </x:c>
      <x:c r="D4" s="5" t="inlineStr">
        <x:is>
          <x:t xml:space="preserve">https://www.usgs.gov/centers/national-minerals-information-center</x:t>
        </x:is>
      </x:c>
      <x:c r="E4" s="5" t="inlineStr">
        <x:is>
          <x:t xml:space="preserve">yearly</x:t>
        </x:is>
      </x:c>
      <x:c r="F4" s="5" t="inlineStr">
        <x:is>
          <x:t xml:space="preserve">active</x:t>
        </x:is>
      </x:c>
    </x:row>
    <x:row r="5">
      <x:c r="A5" s="5" t="n">
        <x:v>4</x:v>
      </x:c>
      <x:c r="B5" s="5" t="inlineStr">
        <x:is>
          <x:t xml:space="preserve">BIS</x:t>
        </x:is>
      </x:c>
      <x:c r="C5" s="5" t="inlineStr">
        <x:is>
          <x:t xml:space="preserve">web</x:t>
        </x:is>
      </x:c>
      <x:c r="D5" s="5" t="inlineStr">
        <x:is>
          <x:t xml:space="preserve">https://www.bis.gov/</x:t>
        </x:is>
      </x:c>
      <x:c r="E5" s="5" t="inlineStr">
        <x:is>
          <x:t xml:space="preserve">daily</x:t>
        </x:is>
      </x:c>
      <x:c r="F5" s="5" t="inlineStr">
        <x:is>
          <x:t xml:space="preserve">active</x:t>
        </x:is>
      </x:c>
    </x:row>
    <x:row r="6">
      <x:c r="A6" s="5" t="n">
        <x:v>5</x:v>
      </x:c>
      <x:c r="B6" s="5" t="inlineStr">
        <x:is>
          <x:t xml:space="preserve">IMF</x:t>
        </x:is>
      </x:c>
      <x:c r="C6" s="5" t="inlineStr">
        <x:is>
          <x:t xml:space="preserve">api</x:t>
        </x:is>
      </x:c>
      <x:c r="D6" s="5" t="inlineStr">
        <x:is>
          <x:t xml:space="preserve">https://www.imf.org/en/Data</x:t>
        </x:is>
      </x:c>
      <x:c r="E6" s="5" t="inlineStr">
        <x:is>
          <x:t xml:space="preserve">daily</x:t>
        </x:is>
      </x:c>
      <x:c r="F6" s="5" t="inlineStr">
        <x:is>
          <x:t xml:space="preserve">active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4" customWidth="1"/>
    <x:col min="3" max="3" width="18" customWidth="1"/>
    <x:col min="4" max="4" width="20" customWidth="1"/>
    <x:col min="5" max="5" width="12" customWidth="1"/>
    <x:col min="6" max="6" width="14" customWidth="1"/>
    <x:col min="7" max="7" width="18" customWidth="1"/>
    <x:col min="8" max="8" width="12" customWidth="1"/>
    <x:col min="9" max="9" width="28" customWidth="1"/>
  </x:cols>
  <x:sheetData>
    <x:row r="1" ht="22" customHeight="1">
      <x:c r="A1" s="4" t="inlineStr">
        <x:is>
          <x:t xml:space="preserve">commodity_code</x:t>
        </x:is>
      </x:c>
      <x:c r="B1" s="4" t="inlineStr">
        <x:is>
          <x:t xml:space="preserve">commodity_name</x:t>
        </x:is>
      </x:c>
      <x:c r="C1" s="4" t="inlineStr">
        <x:is>
          <x:t xml:space="preserve">commodity_group</x:t>
        </x:is>
      </x:c>
      <x:c r="D1" s="4" t="inlineStr">
        <x:is>
          <x:t xml:space="preserve">sub_group</x:t>
        </x:is>
      </x:c>
      <x:c r="E1" s="4" t="inlineStr">
        <x:is>
          <x:t xml:space="preserve">unit_std</x:t>
        </x:is>
      </x:c>
      <x:c r="F1" s="4" t="inlineStr">
        <x:is>
          <x:t xml:space="preserve">currency_std</x:t>
        </x:is>
      </x:c>
      <x:c r="G1" s="4" t="inlineStr">
        <x:is>
          <x:t xml:space="preserve">benchmark_market</x:t>
        </x:is>
      </x:c>
      <x:c r="H1" s="4" t="inlineStr">
        <x:is>
          <x:t xml:space="preserve">critical_flag</x:t>
        </x:is>
      </x:c>
      <x:c r="I1" s="4" t="inlineStr">
        <x:is>
          <x:t xml:space="preserve">notes</x:t>
        </x:is>
      </x:c>
    </x:row>
    <x:row r="2">
      <x:c r="A2" s="6" t="inlineStr">
        <x:is>
          <x:t xml:space="preserve">CU</x:t>
        </x:is>
      </x:c>
      <x:c r="B2" s="6" t="inlineStr">
        <x:is>
          <x:t xml:space="preserve">Copper</x:t>
        </x:is>
      </x:c>
      <x:c r="C2" s="6" t="inlineStr">
        <x:is>
          <x:t xml:space="preserve">Metal</x:t>
        </x:is>
      </x:c>
      <x:c r="D2" s="6" t="inlineStr">
        <x:is>
          <x:t xml:space="preserve">Base Metal</x:t>
        </x:is>
      </x:c>
      <x:c r="E2" s="6" t="inlineStr">
        <x:is>
          <x:t xml:space="preserve">USD/ton</x:t>
        </x:is>
      </x:c>
      <x:c r="F2" s="6" t="inlineStr">
        <x:is>
          <x:t xml:space="preserve">USD</x:t>
        </x:is>
      </x:c>
      <x:c r="G2" s="6" t="inlineStr">
        <x:is>
          <x:t xml:space="preserve">LME</x:t>
        </x:is>
      </x:c>
      <x:c r="H2" s="6" t="inlineStr">
        <x:is>
          <x:t xml:space="preserve">Y</x:t>
        </x:is>
      </x:c>
      <x:c r="I2" s="6" t="inlineStr">
        <x:is>
          <x:t xml:space="preserve">Electrical, connector, busbar</x:t>
        </x:is>
      </x:c>
    </x:row>
    <x:row r="3">
      <x:c r="A3" s="6" t="inlineStr">
        <x:is>
          <x:t xml:space="preserve">AL</x:t>
        </x:is>
      </x:c>
      <x:c r="B3" s="6" t="inlineStr">
        <x:is>
          <x:t xml:space="preserve">Aluminum</x:t>
        </x:is>
      </x:c>
      <x:c r="C3" s="6" t="inlineStr">
        <x:is>
          <x:t xml:space="preserve">Metal</x:t>
        </x:is>
      </x:c>
      <x:c r="D3" s="6" t="inlineStr">
        <x:is>
          <x:t xml:space="preserve">Base Metal</x:t>
        </x:is>
      </x:c>
      <x:c r="E3" s="6" t="inlineStr">
        <x:is>
          <x:t xml:space="preserve">USD/ton</x:t>
        </x:is>
      </x:c>
      <x:c r="F3" s="6" t="inlineStr">
        <x:is>
          <x:t xml:space="preserve">USD</x:t>
        </x:is>
      </x:c>
      <x:c r="G3" s="6" t="inlineStr">
        <x:is>
          <x:t xml:space="preserve">LME</x:t>
        </x:is>
      </x:c>
      <x:c r="H3" s="6" t="inlineStr">
        <x:is>
          <x:t xml:space="preserve">Y</x:t>
        </x:is>
      </x:c>
      <x:c r="I3" s="6" t="inlineStr">
        <x:is>
          <x:t xml:space="preserve">Housing, structural</x:t>
        </x:is>
      </x:c>
    </x:row>
    <x:row r="4">
      <x:c r="A4" s="6" t="inlineStr">
        <x:is>
          <x:t xml:space="preserve">LI_CARB</x:t>
        </x:is>
      </x:c>
      <x:c r="B4" s="6" t="inlineStr">
        <x:is>
          <x:t xml:space="preserve">Lithium Carbonate</x:t>
        </x:is>
      </x:c>
      <x:c r="C4" s="6" t="inlineStr">
        <x:is>
          <x:t xml:space="preserve">Battery Mineral</x:t>
        </x:is>
      </x:c>
      <x:c r="D4" s="6" t="inlineStr">
        <x:is>
          <x:t xml:space="preserve">Critical Mineral</x:t>
        </x:is>
      </x:c>
      <x:c r="E4" s="6" t="inlineStr">
        <x:is>
          <x:t xml:space="preserve">USD/ton</x:t>
        </x:is>
      </x:c>
      <x:c r="F4" s="6" t="inlineStr">
        <x:is>
          <x:t xml:space="preserve">USD</x:t>
        </x:is>
      </x:c>
      <x:c r="G4" s="6" t="inlineStr">
        <x:is>
          <x:t xml:space="preserve">Fastmarkets</x:t>
        </x:is>
      </x:c>
      <x:c r="H4" s="6" t="inlineStr">
        <x:is>
          <x:t xml:space="preserve">Y</x:t>
        </x:is>
      </x:c>
      <x:c r="I4" s="6" t="inlineStr">
        <x:is>
          <x:t xml:space="preserve">Battery chemistry</x:t>
        </x:is>
      </x:c>
    </x:row>
    <x:row r="5">
      <x:c r="A5" s="6" t="inlineStr">
        <x:is>
          <x:t xml:space="preserve">ELEC</x:t>
        </x:is>
      </x:c>
      <x:c r="B5" s="6" t="inlineStr">
        <x:is>
          <x:t xml:space="preserve">Electricity</x:t>
        </x:is>
      </x:c>
      <x:c r="C5" s="6" t="inlineStr">
        <x:is>
          <x:t xml:space="preserve">Energy</x:t>
        </x:is>
      </x:c>
      <x:c r="D5" s="6" t="inlineStr">
        <x:is>
          <x:t xml:space="preserve">Power</x:t>
        </x:is>
      </x:c>
      <x:c r="E5" s="6" t="inlineStr">
        <x:is>
          <x:t xml:space="preserve">USD/kWh</x:t>
        </x:is>
      </x:c>
      <x:c r="F5" s="6" t="inlineStr">
        <x:is>
          <x:t xml:space="preserve">USD</x:t>
        </x:is>
      </x:c>
      <x:c r="G5" s="6" t="inlineStr">
        <x:is>
          <x:t xml:space="preserve">IEA</x:t>
        </x:is>
      </x:c>
      <x:c r="H5" s="6" t="inlineStr">
        <x:is>
          <x:t xml:space="preserve">N</x:t>
        </x:is>
      </x:c>
      <x:c r="I5" s="6" t="inlineStr">
        <x:is>
          <x:t xml:space="preserve">Industrial tariff proxy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14" customWidth="1"/>
    <x:col min="3" max="3" width="18" customWidth="1"/>
    <x:col min="4" max="4" width="12" customWidth="1"/>
    <x:col min="5" max="5" width="14" customWidth="1"/>
    <x:col min="6" max="6" width="10" customWidth="1"/>
    <x:col min="7" max="7" width="12" customWidth="1"/>
    <x:col min="8" max="8" width="14" customWidth="1"/>
    <x:col min="9" max="9" width="16" customWidth="1"/>
    <x:col min="10" max="10" width="42" customWidth="1"/>
  </x:cols>
  <x:sheetData>
    <x:row r="1" ht="22" customHeight="1">
      <x:c r="A1" s="4" t="inlineStr">
        <x:is>
          <x:t xml:space="preserve">commodity_code</x:t>
        </x:is>
      </x:c>
      <x:c r="B1" s="4" t="inlineStr">
        <x:is>
          <x:t xml:space="preserve">date</x:t>
        </x:is>
      </x:c>
      <x:c r="C1" s="4" t="inlineStr">
        <x:is>
          <x:t xml:space="preserve">market_name</x:t>
        </x:is>
      </x:c>
      <x:c r="D1" s="4" t="inlineStr">
        <x:is>
          <x:t xml:space="preserve">price_type</x:t>
        </x:is>
      </x:c>
      <x:c r="E1" s="4" t="inlineStr">
        <x:is>
          <x:t xml:space="preserve">price_value</x:t>
        </x:is>
      </x:c>
      <x:c r="F1" s="4" t="inlineStr">
        <x:is>
          <x:t xml:space="preserve">currency</x:t>
        </x:is>
      </x:c>
      <x:c r="G1" s="4" t="inlineStr">
        <x:is>
          <x:t xml:space="preserve">unit</x:t>
        </x:is>
      </x:c>
      <x:c r="H1" s="4" t="inlineStr">
        <x:is>
          <x:t xml:space="preserve">price_usd_std</x:t>
        </x:is>
      </x:c>
      <x:c r="I1" s="4" t="inlineStr">
        <x:is>
          <x:t xml:space="preserve">source_name</x:t>
        </x:is>
      </x:c>
      <x:c r="J1" s="4" t="inlineStr">
        <x:is>
          <x:t xml:space="preserve">source_url</x:t>
        </x:is>
      </x:c>
    </x:row>
    <x:row r="2">
      <x:c r="A2" s="6" t="inlineStr">
        <x:is>
          <x:t xml:space="preserve">CU</x:t>
        </x:is>
      </x:c>
      <x:c r="B2" s="7" t="n">
        <x:v>45658</x:v>
      </x:c>
      <x:c r="C2" s="6" t="inlineStr">
        <x:is>
          <x:t xml:space="preserve">LME Cash</x:t>
        </x:is>
      </x:c>
      <x:c r="D2" s="6" t="inlineStr">
        <x:is>
          <x:t xml:space="preserve">spot</x:t>
        </x:is>
      </x:c>
      <x:c r="E2" s="8" t="n">
        <x:v>8500</x:v>
      </x:c>
      <x:c r="F2" s="6" t="inlineStr">
        <x:is>
          <x:t xml:space="preserve">USD</x:t>
        </x:is>
      </x:c>
      <x:c r="G2" s="6" t="inlineStr">
        <x:is>
          <x:t xml:space="preserve">ton</x:t>
        </x:is>
      </x:c>
      <x:c r="H2" s="8" t="n">
        <x:v>8500</x:v>
      </x:c>
      <x:c r="I2" s="6" t="inlineStr">
        <x:is>
          <x:t xml:space="preserve">LME</x:t>
        </x:is>
      </x:c>
      <x:c r="J2" s="6" t="inlineStr">
        <x:is>
          <x:t xml:space="preserve">https://www.lme.com/</x:t>
        </x:is>
      </x:c>
    </x:row>
    <x:row r="3">
      <x:c r="A3" s="6" t="inlineStr">
        <x:is>
          <x:t xml:space="preserve">AL</x:t>
        </x:is>
      </x:c>
      <x:c r="B3" s="7" t="n">
        <x:v>45658</x:v>
      </x:c>
      <x:c r="C3" s="6" t="inlineStr">
        <x:is>
          <x:t xml:space="preserve">LME Cash</x:t>
        </x:is>
      </x:c>
      <x:c r="D3" s="6" t="inlineStr">
        <x:is>
          <x:t xml:space="preserve">spot</x:t>
        </x:is>
      </x:c>
      <x:c r="E3" s="8" t="n">
        <x:v>2200</x:v>
      </x:c>
      <x:c r="F3" s="6" t="inlineStr">
        <x:is>
          <x:t xml:space="preserve">USD</x:t>
        </x:is>
      </x:c>
      <x:c r="G3" s="6" t="inlineStr">
        <x:is>
          <x:t xml:space="preserve">ton</x:t>
        </x:is>
      </x:c>
      <x:c r="H3" s="8" t="n">
        <x:v>2200</x:v>
      </x:c>
      <x:c r="I3" s="6" t="inlineStr">
        <x:is>
          <x:t xml:space="preserve">LME</x:t>
        </x:is>
      </x:c>
      <x:c r="J3" s="6" t="inlineStr">
        <x:is>
          <x:t xml:space="preserve">https://www.lme.com/</x:t>
        </x:is>
      </x:c>
    </x:row>
    <x:row r="4">
      <x:c r="A4" s="6" t="inlineStr">
        <x:is>
          <x:t xml:space="preserve">LI_CARB</x:t>
        </x:is>
      </x:c>
      <x:c r="B4" s="7" t="n">
        <x:v>45658</x:v>
      </x:c>
      <x:c r="C4" s="6" t="inlineStr">
        <x:is>
          <x:t xml:space="preserve">Battery Grade</x:t>
        </x:is>
      </x:c>
      <x:c r="D4" s="6" t="inlineStr">
        <x:is>
          <x:t xml:space="preserve">spot</x:t>
        </x:is>
      </x:c>
      <x:c r="E4" s="8" t="n">
        <x:v>13000</x:v>
      </x:c>
      <x:c r="F4" s="6" t="inlineStr">
        <x:is>
          <x:t xml:space="preserve">USD</x:t>
        </x:is>
      </x:c>
      <x:c r="G4" s="6" t="inlineStr">
        <x:is>
          <x:t xml:space="preserve">ton</x:t>
        </x:is>
      </x:c>
      <x:c r="H4" s="8" t="n">
        <x:v>13000</x:v>
      </x:c>
      <x:c r="I4" s="6" t="inlineStr">
        <x:is>
          <x:t xml:space="preserve">Fastmarkets</x:t>
        </x:is>
      </x:c>
      <x:c r="J4" s="6" t="inlineStr">
        <x:is>
          <x:t xml:space="preserve">https://www.fastmarkets.com/</x:t>
        </x:is>
      </x:c>
    </x:row>
  </x:sheetData>
  <x:pageMargins left="0.7" right="0.7" top="0.75" bottom="0.75" header="0.3" footer="0.3"/>
  <x:legacyDrawing xmlns:r="http://schemas.openxmlformats.org/officeDocument/2006/relationships" r:id="R54caa263a5d140bf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4" customWidth="1"/>
    <x:col min="3" max="3" width="18" customWidth="1"/>
    <x:col min="4" max="4" width="12" customWidth="1"/>
    <x:col min="5" max="5" width="12" customWidth="1"/>
    <x:col min="6" max="6" width="10" customWidth="1"/>
    <x:col min="7" max="7" width="12" customWidth="1"/>
    <x:col min="8" max="8" width="42" customWidth="1"/>
  </x:cols>
  <x:sheetData>
    <x:row r="1" ht="22" customHeight="1">
      <x:c r="A1" s="4" t="inlineStr">
        <x:is>
          <x:t xml:space="preserve">region_code</x:t>
        </x:is>
      </x:c>
      <x:c r="B1" s="4" t="inlineStr">
        <x:is>
          <x:t xml:space="preserve">date</x:t>
        </x:is>
      </x:c>
      <x:c r="C1" s="4" t="inlineStr">
        <x:is>
          <x:t xml:space="preserve">electricity_price</x:t>
        </x:is>
      </x:c>
      <x:c r="D1" s="4" t="inlineStr">
        <x:is>
          <x:t xml:space="preserve">gas_price</x:t>
        </x:is>
      </x:c>
      <x:c r="E1" s="4" t="inlineStr">
        <x:is>
          <x:t xml:space="preserve">oil_price</x:t>
        </x:is>
      </x:c>
      <x:c r="F1" s="4" t="inlineStr">
        <x:is>
          <x:t xml:space="preserve">currency</x:t>
        </x:is>
      </x:c>
      <x:c r="G1" s="4" t="inlineStr">
        <x:is>
          <x:t xml:space="preserve">source_name</x:t>
        </x:is>
      </x:c>
      <x:c r="H1" s="4" t="inlineStr">
        <x:is>
          <x:t xml:space="preserve">source_url</x:t>
        </x:is>
      </x:c>
    </x:row>
    <x:row r="2">
      <x:c r="A2" s="6" t="inlineStr">
        <x:is>
          <x:t xml:space="preserve">KR</x:t>
        </x:is>
      </x:c>
      <x:c r="B2" s="7" t="n">
        <x:v>45658</x:v>
      </x:c>
      <x:c r="C2" s="8" t="n">
        <x:v>0.12</x:v>
      </x:c>
      <x:c r="D2" s="8" t="n">
        <x:v>10</x:v>
      </x:c>
      <x:c r="E2" s="8" t="n">
        <x:v>80</x:v>
      </x:c>
      <x:c r="F2" s="6" t="inlineStr">
        <x:is>
          <x:t xml:space="preserve">USD</x:t>
        </x:is>
      </x:c>
      <x:c r="G2" s="6" t="inlineStr">
        <x:is>
          <x:t xml:space="preserve">IEA</x:t>
        </x:is>
      </x:c>
      <x:c r="H2" s="6" t="inlineStr">
        <x:is>
          <x:t xml:space="preserve">https://www.iea.org/data-and-statistics</x:t>
        </x:is>
      </x:c>
    </x:row>
    <x:row r="3">
      <x:c r="A3" s="6" t="inlineStr">
        <x:is>
          <x:t xml:space="preserve">CN</x:t>
        </x:is>
      </x:c>
      <x:c r="B3" s="7" t="n">
        <x:v>45658</x:v>
      </x:c>
      <x:c r="C3" s="8" t="n">
        <x:v>0.1</x:v>
      </x:c>
      <x:c r="D3" s="8" t="n">
        <x:v>9</x:v>
      </x:c>
      <x:c r="E3" s="8" t="n">
        <x:v>80</x:v>
      </x:c>
      <x:c r="F3" s="6" t="inlineStr">
        <x:is>
          <x:t xml:space="preserve">USD</x:t>
        </x:is>
      </x:c>
      <x:c r="G3" s="6" t="inlineStr">
        <x:is>
          <x:t xml:space="preserve">IEA</x:t>
        </x:is>
      </x:c>
      <x:c r="H3" s="6" t="inlineStr">
        <x:is>
          <x:t xml:space="preserve">https://www.iea.org/data-and-statistics</x:t>
        </x:is>
      </x:c>
    </x:row>
  </x:sheetData>
  <x:pageMargins left="0.7" right="0.7" top="0.75" bottom="0.75" header="0.3" footer="0.3"/>
  <x:legacyDrawing xmlns:r="http://schemas.openxmlformats.org/officeDocument/2006/relationships" r:id="R8bd0e1ecd61e4454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14" customWidth="1"/>
    <x:col min="3" max="3" width="10" customWidth="1"/>
    <x:col min="4" max="4" width="14" customWidth="1"/>
    <x:col min="5" max="5" width="14" customWidth="1"/>
    <x:col min="6" max="6" width="14" customWidth="1"/>
    <x:col min="7" max="7" width="12" customWidth="1"/>
    <x:col min="8" max="8" width="48" customWidth="1"/>
  </x:cols>
  <x:sheetData>
    <x:row r="1" ht="22" customHeight="1">
      <x:c r="A1" s="4" t="inlineStr">
        <x:is>
          <x:t xml:space="preserve">commodity_code</x:t>
        </x:is>
      </x:c>
      <x:c r="B1" s="4" t="inlineStr">
        <x:is>
          <x:t xml:space="preserve">country_code</x:t>
        </x:is>
      </x:c>
      <x:c r="C1" s="4" t="inlineStr">
        <x:is>
          <x:t xml:space="preserve">year</x:t>
        </x:is>
      </x:c>
      <x:c r="D1" s="4" t="inlineStr">
        <x:is>
          <x:t xml:space="preserve">production</x:t>
        </x:is>
      </x:c>
      <x:c r="E1" s="4" t="inlineStr">
        <x:is>
          <x:t xml:space="preserve">consumption</x:t>
        </x:is>
      </x:c>
      <x:c r="F1" s="4" t="inlineStr">
        <x:is>
          <x:t xml:space="preserve">reserves</x:t>
        </x:is>
      </x:c>
      <x:c r="G1" s="4" t="inlineStr">
        <x:is>
          <x:t xml:space="preserve">source_name</x:t>
        </x:is>
      </x:c>
      <x:c r="H1" s="4" t="inlineStr">
        <x:is>
          <x:t xml:space="preserve">source_url</x:t>
        </x:is>
      </x:c>
    </x:row>
    <x:row r="2">
      <x:c r="A2" s="6" t="inlineStr">
        <x:is>
          <x:t xml:space="preserve">CU</x:t>
        </x:is>
      </x:c>
      <x:c r="B2" s="6" t="inlineStr">
        <x:is>
          <x:t xml:space="preserve">CL</x:t>
        </x:is>
      </x:c>
      <x:c r="C2" s="6" t="n">
        <x:v>2024</x:v>
      </x:c>
      <x:c r="D2" s="9" t="n">
        <x:v>5600000</x:v>
      </x:c>
      <x:c r="E2" s="9" t="n">
        <x:v>500000</x:v>
      </x:c>
      <x:c r="F2" s="9" t="n">
        <x:v>20000000</x:v>
      </x:c>
      <x:c r="G2" s="6" t="inlineStr">
        <x:is>
          <x:t xml:space="preserve">USGS</x:t>
        </x:is>
      </x:c>
      <x:c r="H2" s="6" t="inlineStr">
        <x:is>
          <x:t xml:space="preserve">https://www.usgs.gov/centers/national-minerals-information-center</x:t>
        </x:is>
      </x:c>
    </x:row>
    <x:row r="3">
      <x:c r="A3" s="6" t="inlineStr">
        <x:is>
          <x:t xml:space="preserve">AL</x:t>
        </x:is>
      </x:c>
      <x:c r="B3" s="6" t="inlineStr">
        <x:is>
          <x:t xml:space="preserve">CN</x:t>
        </x:is>
      </x:c>
      <x:c r="C3" s="6" t="n">
        <x:v>2024</x:v>
      </x:c>
      <x:c r="D3" s="9" t="n">
        <x:v>41000000</x:v>
      </x:c>
      <x:c r="E3" s="9" t="n">
        <x:v>43000000</x:v>
      </x:c>
      <x:c r="F3" s="9" t="n">
        <x:v>710000000</x:v>
      </x:c>
      <x:c r="G3" s="6" t="inlineStr">
        <x:is>
          <x:t xml:space="preserve">USGS</x:t>
        </x:is>
      </x:c>
      <x:c r="H3" s="6" t="inlineStr">
        <x:is>
          <x:t xml:space="preserve">https://www.usgs.gov/centers/national-minerals-information-center</x:t>
        </x:is>
      </x:c>
    </x:row>
    <x:row r="4">
      <x:c r="A4" s="6" t="inlineStr">
        <x:is>
          <x:t xml:space="preserve">LI_CARB</x:t>
        </x:is>
      </x:c>
      <x:c r="B4" s="6" t="inlineStr">
        <x:is>
          <x:t xml:space="preserve">AU</x:t>
        </x:is>
      </x:c>
      <x:c r="C4" s="6" t="n">
        <x:v>2024</x:v>
      </x:c>
      <x:c r="D4" s="9" t="n">
        <x:v>88000</x:v>
      </x:c>
      <x:c r="E4" s="9" t="n">
        <x:v>30000</x:v>
      </x:c>
      <x:c r="F4" s="9" t="n">
        <x:v>6200000</x:v>
      </x:c>
      <x:c r="G4" s="6" t="inlineStr">
        <x:is>
          <x:t xml:space="preserve">USGS</x:t>
        </x:is>
      </x:c>
      <x:c r="H4" s="6" t="inlineStr">
        <x:is>
          <x:t xml:space="preserve">https://www.usgs.gov/centers/national-minerals-information-center</x:t>
        </x:is>
      </x:c>
    </x:row>
  </x:sheetData>
  <x:pageMargins left="0.7" right="0.7" top="0.75" bottom="0.75" header="0.3" footer="0.3"/>
  <x:legacyDrawing xmlns:r="http://schemas.openxmlformats.org/officeDocument/2006/relationships" r:id="R0eac2da648d84b20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4" customWidth="1"/>
    <x:col min="3" max="3" width="14" customWidth="1"/>
    <x:col min="4" max="4" width="16" customWidth="1"/>
    <x:col min="5" max="5" width="18" customWidth="1"/>
    <x:col min="6" max="6" width="18" customWidth="1"/>
    <x:col min="7" max="7" width="10" customWidth="1"/>
    <x:col min="8" max="8" width="12" customWidth="1"/>
    <x:col min="9" max="9" width="34" customWidth="1"/>
    <x:col min="10" max="10" width="42" customWidth="1"/>
    <x:col min="11" max="11" width="14" customWidth="1"/>
  </x:cols>
  <x:sheetData>
    <x:row r="1" ht="22" customHeight="1">
      <x:c r="A1" s="4" t="inlineStr">
        <x:is>
          <x:t xml:space="preserve">event_id</x:t>
        </x:is>
      </x:c>
      <x:c r="B1" s="4" t="inlineStr">
        <x:is>
          <x:t xml:space="preserve">date</x:t>
        </x:is>
      </x:c>
      <x:c r="C1" s="4" t="inlineStr">
        <x:is>
          <x:t xml:space="preserve">country_code</x:t>
        </x:is>
      </x:c>
      <x:c r="D1" s="4" t="inlineStr">
        <x:is>
          <x:t xml:space="preserve">commodity_code</x:t>
        </x:is>
      </x:c>
      <x:c r="E1" s="4" t="inlineStr">
        <x:is>
          <x:t xml:space="preserve">risk_type</x:t>
        </x:is>
      </x:c>
      <x:c r="F1" s="4" t="inlineStr">
        <x:is>
          <x:t xml:space="preserve">restriction_type</x:t>
        </x:is>
      </x:c>
      <x:c r="G1" s="4" t="inlineStr">
        <x:is>
          <x:t xml:space="preserve">severity</x:t>
        </x:is>
      </x:c>
      <x:c r="H1" s="4" t="inlineStr">
        <x:is>
          <x:t xml:space="preserve">impact_ratio</x:t>
        </x:is>
      </x:c>
      <x:c r="I1" s="4" t="inlineStr">
        <x:is>
          <x:t xml:space="preserve">title</x:t>
        </x:is>
      </x:c>
      <x:c r="J1" s="4" t="inlineStr">
        <x:is>
          <x:t xml:space="preserve">source_url</x:t>
        </x:is>
      </x:c>
      <x:c r="K1" s="4" t="inlineStr">
        <x:is>
          <x:t xml:space="preserve">review_status</x:t>
        </x:is>
      </x:c>
    </x:row>
    <x:row r="2">
      <x:c r="A2" s="6" t="n">
        <x:v>1</x:v>
      </x:c>
      <x:c r="B2" s="7" t="n">
        <x:v>45658</x:v>
      </x:c>
      <x:c r="C2" s="6" t="inlineStr">
        <x:is>
          <x:t xml:space="preserve">CN</x:t>
        </x:is>
      </x:c>
      <x:c r="D2" s="6" t="inlineStr">
        <x:is>
          <x:t xml:space="preserve">CU</x:t>
        </x:is>
      </x:c>
      <x:c r="E2" s="6" t="inlineStr">
        <x:is>
          <x:t xml:space="preserve">trade_policy</x:t>
        </x:is>
      </x:c>
      <x:c r="F2" s="6" t="inlineStr">
        <x:is>
          <x:t xml:space="preserve">license</x:t>
        </x:is>
      </x:c>
      <x:c r="G2" s="10" t="n">
        <x:v>2</x:v>
      </x:c>
      <x:c r="H2" s="11" t="n">
        <x:v>0.2</x:v>
      </x:c>
      <x:c r="I2" s="6" t="inlineStr">
        <x:is>
          <x:t xml:space="preserve">Illustrative export licensing pressure</x:t>
        </x:is>
      </x:c>
      <x:c r="J2" s="6" t="inlineStr">
        <x:is>
          <x:t xml:space="preserve">https://www.bis.gov/</x:t>
        </x:is>
      </x:c>
      <x:c r="K2" s="6" t="inlineStr">
        <x:is>
          <x:t xml:space="preserve">reviewed</x:t>
        </x:is>
      </x:c>
    </x:row>
    <x:row r="3">
      <x:c r="A3" s="6" t="n">
        <x:v>2</x:v>
      </x:c>
      <x:c r="B3" s="7" t="n">
        <x:v>45658</x:v>
      </x:c>
      <x:c r="C3" s="6" t="inlineStr">
        <x:is>
          <x:t xml:space="preserve">CN</x:t>
        </x:is>
      </x:c>
      <x:c r="D3" s="6" t="inlineStr">
        <x:is>
          <x:t xml:space="preserve">LI_CARB</x:t>
        </x:is>
      </x:c>
      <x:c r="E3" s="6" t="inlineStr">
        <x:is>
          <x:t xml:space="preserve">export_control</x:t>
        </x:is>
      </x:c>
      <x:c r="F3" s="6" t="inlineStr">
        <x:is>
          <x:t xml:space="preserve">license</x:t>
        </x:is>
      </x:c>
      <x:c r="G3" s="10" t="n">
        <x:v>4</x:v>
      </x:c>
      <x:c r="H3" s="11" t="n">
        <x:v>0.45</x:v>
      </x:c>
      <x:c r="I3" s="6" t="inlineStr">
        <x:is>
          <x:t xml:space="preserve">Critical mineral licensing pressure</x:t>
        </x:is>
      </x:c>
      <x:c r="J3" s="6" t="inlineStr">
        <x:is>
          <x:t xml:space="preserve">https://www.bis.gov/</x:t>
        </x:is>
      </x:c>
      <x:c r="K3" s="6" t="inlineStr">
        <x:is>
          <x:t xml:space="preserve">reviewed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4" customWidth="1"/>
    <x:col min="3" max="3" width="18" customWidth="1"/>
    <x:col min="4" max="4" width="16" customWidth="1"/>
    <x:col min="5" max="5" width="16" customWidth="1"/>
    <x:col min="6" max="6" width="14" customWidth="1"/>
    <x:col min="7" max="7" width="12" customWidth="1"/>
    <x:col min="8" max="8" width="14" customWidth="1"/>
  </x:cols>
  <x:sheetData>
    <x:row r="1" ht="22" customHeight="1">
      <x:c r="A1" s="4" t="inlineStr">
        <x:is>
          <x:t xml:space="preserve">country_code</x:t>
        </x:is>
      </x:c>
      <x:c r="B1" s="4" t="inlineStr">
        <x:is>
          <x:t xml:space="preserve">date</x:t>
        </x:is>
      </x:c>
      <x:c r="C1" s="4" t="inlineStr">
        <x:is>
          <x:t xml:space="preserve">geopolitical_score</x:t>
        </x:is>
      </x:c>
      <x:c r="D1" s="4" t="inlineStr">
        <x:is>
          <x:t xml:space="preserve">logistics_score</x:t>
        </x:is>
      </x:c>
      <x:c r="E1" s="4" t="inlineStr">
        <x:is>
          <x:t xml:space="preserve">regulation_score</x:t>
        </x:is>
      </x:c>
      <x:c r="F1" s="4" t="inlineStr">
        <x:is>
          <x:t xml:space="preserve">currency_score</x:t>
        </x:is>
      </x:c>
      <x:c r="G1" s="4" t="inlineStr">
        <x:is>
          <x:t xml:space="preserve">total_score</x:t>
        </x:is>
      </x:c>
      <x:c r="H1" s="4" t="inlineStr">
        <x:is>
          <x:t xml:space="preserve">source_name</x:t>
        </x:is>
      </x:c>
    </x:row>
    <x:row r="2">
      <x:c r="A2" s="6" t="inlineStr">
        <x:is>
          <x:t xml:space="preserve">KR</x:t>
        </x:is>
      </x:c>
      <x:c r="B2" s="7" t="n">
        <x:v>45658</x:v>
      </x:c>
      <x:c r="C2" s="6" t="n">
        <x:v>25</x:v>
      </x:c>
      <x:c r="D2" s="6" t="n">
        <x:v>20</x:v>
      </x:c>
      <x:c r="E2" s="6" t="n">
        <x:v>15</x:v>
      </x:c>
      <x:c r="F2" s="6" t="n">
        <x:v>18</x:v>
      </x:c>
      <x:c r="G2" s="6" t="n">
        <x:v>78</x:v>
      </x:c>
      <x:c r="H2" s="6" t="inlineStr">
        <x:is>
          <x:t xml:space="preserve">Internal</x:t>
        </x:is>
      </x:c>
    </x:row>
    <x:row r="3">
      <x:c r="A3" s="6" t="inlineStr">
        <x:is>
          <x:t xml:space="preserve">CN</x:t>
        </x:is>
      </x:c>
      <x:c r="B3" s="7" t="n">
        <x:v>45658</x:v>
      </x:c>
      <x:c r="C3" s="6" t="n">
        <x:v>45</x:v>
      </x:c>
      <x:c r="D3" s="6" t="n">
        <x:v>32</x:v>
      </x:c>
      <x:c r="E3" s="6" t="n">
        <x:v>40</x:v>
      </x:c>
      <x:c r="F3" s="6" t="n">
        <x:v>24</x:v>
      </x:c>
      <x:c r="G3" s="6" t="n">
        <x:v>141</x:v>
      </x:c>
      <x:c r="H3" s="6" t="inlineStr">
        <x:is>
          <x:t xml:space="preserve">Internal</x:t>
        </x:is>
      </x:c>
    </x:row>
    <x:row r="4">
      <x:c r="A4" s="6" t="inlineStr">
        <x:is>
          <x:t xml:space="preserve">CL</x:t>
        </x:is>
      </x:c>
      <x:c r="B4" s="7" t="n">
        <x:v>45658</x:v>
      </x:c>
      <x:c r="C4" s="6" t="n">
        <x:v>20</x:v>
      </x:c>
      <x:c r="D4" s="6" t="n">
        <x:v>25</x:v>
      </x:c>
      <x:c r="E4" s="6" t="n">
        <x:v>10</x:v>
      </x:c>
      <x:c r="F4" s="6" t="n">
        <x:v>16</x:v>
      </x:c>
      <x:c r="G4" s="6" t="n">
        <x:v>71</x:v>
      </x:c>
      <x:c r="H4" s="6" t="inlineStr">
        <x:is>
          <x:t xml:space="preserve">Internal</x:t>
        </x:is>
      </x:c>
    </x:row>
    <x:row r="5">
      <x:c r="A5" s="6" t="inlineStr">
        <x:is>
          <x:t xml:space="preserve">AU</x:t>
        </x:is>
      </x:c>
      <x:c r="B5" s="7" t="n">
        <x:v>45658</x:v>
      </x:c>
      <x:c r="C5" s="6" t="n">
        <x:v>16</x:v>
      </x:c>
      <x:c r="D5" s="6" t="n">
        <x:v>18</x:v>
      </x:c>
      <x:c r="E5" s="6" t="n">
        <x:v>8</x:v>
      </x:c>
      <x:c r="F5" s="6" t="n">
        <x:v>14</x:v>
      </x:c>
      <x:c r="G5" s="6" t="n">
        <x:v>56</x:v>
      </x:c>
      <x:c r="H5" s="6" t="inlineStr">
        <x:is>
          <x:t xml:space="preserve">Internal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16" customWidth="1"/>
    <x:col min="3" max="3" width="22" customWidth="1"/>
    <x:col min="4" max="4" width="12" customWidth="1"/>
    <x:col min="5" max="5" width="24" customWidth="1"/>
  </x:cols>
  <x:sheetData>
    <x:row r="1" ht="22" customHeight="1">
      <x:c r="A1" s="4" t="inlineStr">
        <x:is>
          <x:t xml:space="preserve">raw_name_pattern</x:t>
        </x:is>
      </x:c>
      <x:c r="B1" s="4" t="inlineStr">
        <x:is>
          <x:t xml:space="preserve">commodity_code</x:t>
        </x:is>
      </x:c>
      <x:c r="C1" s="4" t="inlineStr">
        <x:is>
          <x:t xml:space="preserve">std_name</x:t>
        </x:is>
      </x:c>
      <x:c r="D1" s="4" t="inlineStr">
        <x:is>
          <x:t xml:space="preserve">unit_std</x:t>
        </x:is>
      </x:c>
      <x:c r="E1" s="4" t="inlineStr">
        <x:is>
          <x:t xml:space="preserve">source_logic</x:t>
        </x:is>
      </x:c>
    </x:row>
    <x:row r="2">
      <x:c r="A2" s="5" t="inlineStr">
        <x:is>
          <x:t xml:space="preserve">copper</x:t>
        </x:is>
      </x:c>
      <x:c r="B2" s="12" t="inlineStr">
        <x:is>
          <x:t xml:space="preserve">CU</x:t>
        </x:is>
      </x:c>
      <x:c r="C2" s="5" t="inlineStr">
        <x:is>
          <x:t xml:space="preserve">Copper</x:t>
        </x:is>
      </x:c>
      <x:c r="D2" s="5" t="inlineStr">
        <x:is>
          <x:t xml:space="preserve">USD/ton</x:t>
        </x:is>
      </x:c>
      <x:c r="E2" s="5" t="inlineStr">
        <x:is>
          <x:t xml:space="preserve">manual mapping</x:t>
        </x:is>
      </x:c>
    </x:row>
    <x:row r="3">
      <x:c r="A3" s="5" t="inlineStr">
        <x:is>
          <x:t xml:space="preserve">aluminium</x:t>
        </x:is>
      </x:c>
      <x:c r="B3" s="12" t="inlineStr">
        <x:is>
          <x:t xml:space="preserve">AL</x:t>
        </x:is>
      </x:c>
      <x:c r="C3" s="5" t="inlineStr">
        <x:is>
          <x:t xml:space="preserve">Aluminum</x:t>
        </x:is>
      </x:c>
      <x:c r="D3" s="5" t="inlineStr">
        <x:is>
          <x:t xml:space="preserve">USD/ton</x:t>
        </x:is>
      </x:c>
      <x:c r="E3" s="5" t="inlineStr">
        <x:is>
          <x:t xml:space="preserve">manual mapping</x:t>
        </x:is>
      </x:c>
    </x:row>
    <x:row r="4">
      <x:c r="A4" s="5" t="inlineStr">
        <x:is>
          <x:t xml:space="preserve">aluminum</x:t>
        </x:is>
      </x:c>
      <x:c r="B4" s="12" t="inlineStr">
        <x:is>
          <x:t xml:space="preserve">AL</x:t>
        </x:is>
      </x:c>
      <x:c r="C4" s="5" t="inlineStr">
        <x:is>
          <x:t xml:space="preserve">Aluminum</x:t>
        </x:is>
      </x:c>
      <x:c r="D4" s="5" t="inlineStr">
        <x:is>
          <x:t xml:space="preserve">USD/ton</x:t>
        </x:is>
      </x:c>
      <x:c r="E4" s="5" t="inlineStr">
        <x:is>
          <x:t xml:space="preserve">manual mapping</x:t>
        </x:is>
      </x:c>
    </x:row>
    <x:row r="5">
      <x:c r="A5" s="5" t="inlineStr">
        <x:is>
          <x:t xml:space="preserve">lithium carbonate</x:t>
        </x:is>
      </x:c>
      <x:c r="B5" s="12" t="inlineStr">
        <x:is>
          <x:t xml:space="preserve">LI_CARB</x:t>
        </x:is>
      </x:c>
      <x:c r="C5" s="5" t="inlineStr">
        <x:is>
          <x:t xml:space="preserve">Lithium Carbonate</x:t>
        </x:is>
      </x:c>
      <x:c r="D5" s="5" t="inlineStr">
        <x:is>
          <x:t xml:space="preserve">USD/ton</x:t>
        </x:is>
      </x:c>
      <x:c r="E5" s="5" t="inlineStr">
        <x:is>
          <x:t xml:space="preserve">manual mapping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20" customWidth="1"/>
    <x:col min="3" max="3" width="14" customWidth="1"/>
    <x:col min="4" max="4" width="28" customWidth="1"/>
  </x:cols>
  <x:sheetData>
    <x:row r="1" ht="22" customHeight="1">
      <x:c r="A1" s="4" t="inlineStr">
        <x:is>
          <x:t xml:space="preserve">process_name</x:t>
        </x:is>
      </x:c>
      <x:c r="B1" s="4" t="inlineStr">
        <x:is>
          <x:t xml:space="preserve">energy_kwh_per_kg</x:t>
        </x:is>
      </x:c>
      <x:c r="C1" s="4" t="inlineStr">
        <x:is>
          <x:t xml:space="preserve">energy_class</x:t>
        </x:is>
      </x:c>
      <x:c r="D1" s="4" t="inlineStr">
        <x:is>
          <x:t xml:space="preserve">notes</x:t>
        </x:is>
      </x:c>
    </x:row>
    <x:row r="2">
      <x:c r="A2" s="5" t="inlineStr">
        <x:is>
          <x:t xml:space="preserve">stamping</x:t>
        </x:is>
      </x:c>
      <x:c r="B2" s="13" t="n">
        <x:v>0.25</x:v>
      </x:c>
      <x:c r="C2" s="5" t="inlineStr">
        <x:is>
          <x:t xml:space="preserve">high</x:t>
        </x:is>
      </x:c>
      <x:c r="D2" s="5" t="inlineStr">
        <x:is>
          <x:t xml:space="preserve">Illustrative</x:t>
        </x:is>
      </x:c>
    </x:row>
    <x:row r="3">
      <x:c r="A3" s="5" t="inlineStr">
        <x:is>
          <x:t xml:space="preserve">casting</x:t>
        </x:is>
      </x:c>
      <x:c r="B3" s="13" t="n">
        <x:v>0.45</x:v>
      </x:c>
      <x:c r="C3" s="5" t="inlineStr">
        <x:is>
          <x:t xml:space="preserve">medium</x:t>
        </x:is>
      </x:c>
      <x:c r="D3" s="5" t="inlineStr">
        <x:is>
          <x:t xml:space="preserve">Illustrative</x:t>
        </x:is>
      </x:c>
    </x:row>
    <x:row r="4">
      <x:c r="A4" s="5" t="inlineStr">
        <x:is>
          <x:t xml:space="preserve">assembly</x:t>
        </x:is>
      </x:c>
      <x:c r="B4" s="13" t="n">
        <x:v>0.15</x:v>
      </x:c>
      <x:c r="C4" s="5" t="inlineStr">
        <x:is>
          <x:t xml:space="preserve">low</x:t>
        </x:is>
      </x:c>
      <x:c r="D4" s="5" t="inlineStr">
        <x:is>
          <x:t xml:space="preserve">Illustrative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6" customWidth="1"/>
    <x:col min="3" max="3" width="22" customWidth="1"/>
    <x:col min="4" max="4" width="26" customWidth="1"/>
  </x:cols>
  <x:sheetData>
    <x:row r="1" ht="22" customHeight="1">
      <x:c r="A1" s="4" t="inlineStr">
        <x:is>
          <x:t xml:space="preserve">wave_delay_class</x:t>
        </x:is>
      </x:c>
      <x:c r="B1" s="4" t="inlineStr">
        <x:is>
          <x:t xml:space="preserve">delay_months</x:t>
        </x:is>
      </x:c>
      <x:c r="C1" s="4" t="inlineStr">
        <x:is>
          <x:t xml:space="preserve">amplification_factor</x:t>
        </x:is>
      </x:c>
      <x:c r="D1" s="4" t="inlineStr">
        <x:is>
          <x:t xml:space="preserve">notes</x:t>
        </x:is>
      </x:c>
    </x:row>
    <x:row r="2">
      <x:c r="A2" s="5" t="inlineStr">
        <x:is>
          <x:t xml:space="preserve">A</x:t>
        </x:is>
      </x:c>
      <x:c r="B2" s="5" t="n">
        <x:v>4</x:v>
      </x:c>
      <x:c r="C2" s="14" t="n">
        <x:v>1.1</x:v>
      </x:c>
      <x:c r="D2" s="5" t="inlineStr">
        <x:is>
          <x:t xml:space="preserve">Fast pass-through</x:t>
        </x:is>
      </x:c>
    </x:row>
    <x:row r="3">
      <x:c r="A3" s="5" t="inlineStr">
        <x:is>
          <x:t xml:space="preserve">B</x:t>
        </x:is>
      </x:c>
      <x:c r="B3" s="5" t="n">
        <x:v>6</x:v>
      </x:c>
      <x:c r="C3" s="14" t="n">
        <x:v>1.2</x:v>
      </x:c>
      <x:c r="D3" s="5" t="inlineStr">
        <x:is>
          <x:t xml:space="preserve">Moderate amplification</x:t>
        </x:is>
      </x:c>
    </x:row>
    <x:row r="4">
      <x:c r="A4" s="5" t="inlineStr">
        <x:is>
          <x:t xml:space="preserve">C</x:t>
        </x:is>
      </x:c>
      <x:c r="B4" s="5" t="n">
        <x:v>9</x:v>
      </x:c>
      <x:c r="C4" s="14" t="n">
        <x:v>1.35</x:v>
      </x:c>
      <x:c r="D4" s="5" t="inlineStr">
        <x:is>
          <x:t xml:space="preserve">Long tail amplification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6" customWidth="1"/>
    <x:col min="3" max="3" width="18" customWidth="1"/>
    <x:col min="4" max="4" width="12" customWidth="1"/>
    <x:col min="5" max="5" width="16" customWidth="1"/>
  </x:cols>
  <x:sheetData>
    <x:row r="1" ht="22" customHeight="1">
      <x:c r="A1" s="4" t="inlineStr">
        <x:is>
          <x:t xml:space="preserve">product_id</x:t>
        </x:is>
      </x:c>
      <x:c r="B1" s="4" t="inlineStr">
        <x:is>
          <x:t xml:space="preserve">product_name</x:t>
        </x:is>
      </x:c>
      <x:c r="C1" s="4" t="inlineStr">
        <x:is>
          <x:t xml:space="preserve">industry</x:t>
        </x:is>
      </x:c>
      <x:c r="D1" s="4" t="inlineStr">
        <x:is>
          <x:t xml:space="preserve">region_code</x:t>
        </x:is>
      </x:c>
      <x:c r="E1" s="4" t="inlineStr">
        <x:is>
          <x:t xml:space="preserve">region_name</x:t>
        </x:is>
      </x:c>
    </x:row>
    <x:row r="2">
      <x:c r="A2" s="5" t="n">
        <x:v>1</x:v>
      </x:c>
      <x:c r="B2" s="5" t="inlineStr">
        <x:is>
          <x:t xml:space="preserve">Battery Module</x:t>
        </x:is>
      </x:c>
      <x:c r="C2" s="5" t="inlineStr">
        <x:is>
          <x:t xml:space="preserve">EV</x:t>
        </x:is>
      </x:c>
      <x:c r="D2" s="5" t="inlineStr">
        <x:is>
          <x:t xml:space="preserve">KR</x:t>
        </x:is>
      </x:c>
      <x:c r="E2" s="5" t="inlineStr">
        <x:is>
          <x:t xml:space="preserve">Korea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0" customWidth="1"/>
    <x:col min="3" max="3" width="22" customWidth="1"/>
    <x:col min="4" max="4" width="20" customWidth="1"/>
    <x:col min="5" max="5" width="18" customWidth="1"/>
    <x:col min="6" max="6" width="20" customWidth="1"/>
    <x:col min="7" max="7" width="16" customWidth="1"/>
    <x:col min="8" max="8" width="12" customWidth="1"/>
    <x:col min="9" max="9" width="10" customWidth="1"/>
    <x:col min="10" max="10" width="18" customWidth="1"/>
    <x:col min="11" max="11" width="18" customWidth="1"/>
    <x:col min="12" max="12" width="18" customWidth="1"/>
    <x:col min="13" max="13" width="14" customWidth="1"/>
    <x:col min="14" max="14" width="16" customWidth="1"/>
  </x:cols>
  <x:sheetData>
    <x:row r="1" ht="22" customHeight="1">
      <x:c r="A1" s="4" t="inlineStr">
        <x:is>
          <x:t xml:space="preserve">part_id</x:t>
        </x:is>
      </x:c>
      <x:c r="B1" s="4" t="inlineStr">
        <x:is>
          <x:t xml:space="preserve">product_id</x:t>
        </x:is>
      </x:c>
      <x:c r="C1" s="4" t="inlineStr">
        <x:is>
          <x:t xml:space="preserve">part_name</x:t>
        </x:is>
      </x:c>
      <x:c r="D1" s="4" t="inlineStr">
        <x:is>
          <x:t xml:space="preserve">module_name</x:t>
        </x:is>
      </x:c>
      <x:c r="E1" s="4" t="inlineStr">
        <x:is>
          <x:t xml:space="preserve">material_group</x:t>
        </x:is>
      </x:c>
      <x:c r="F1" s="4" t="inlineStr">
        <x:is>
          <x:t xml:space="preserve">sub_material_group</x:t>
        </x:is>
      </x:c>
      <x:c r="G1" s="4" t="inlineStr">
        <x:is>
          <x:t xml:space="preserve">commodity_code</x:t>
        </x:is>
      </x:c>
      <x:c r="H1" s="4" t="inlineStr">
        <x:is>
          <x:t xml:space="preserve">weight_kg</x:t>
        </x:is>
      </x:c>
      <x:c r="I1" s="4" t="inlineStr">
        <x:is>
          <x:t xml:space="preserve">qty</x:t>
        </x:is>
      </x:c>
      <x:c r="J1" s="4" t="inlineStr">
        <x:is>
          <x:t xml:space="preserve">supplier_country_code</x:t>
        </x:is>
      </x:c>
      <x:c r="K1" s="4" t="inlineStr">
        <x:is>
          <x:t xml:space="preserve">supplier_country_name</x:t>
        </x:is>
      </x:c>
      <x:c r="L1" s="4" t="inlineStr">
        <x:is>
          <x:t xml:space="preserve">process_name</x:t>
        </x:is>
      </x:c>
      <x:c r="M1" s="4" t="inlineStr">
        <x:is>
          <x:t xml:space="preserve">energy_class</x:t>
        </x:is>
      </x:c>
      <x:c r="N1" s="4" t="inlineStr">
        <x:is>
          <x:t xml:space="preserve">wave_delay_class</x:t>
        </x:is>
      </x:c>
    </x:row>
    <x:row r="2">
      <x:c r="A2" s="5" t="n">
        <x:v>1</x:v>
      </x:c>
      <x:c r="B2" s="5" t="n">
        <x:v>1</x:v>
      </x:c>
      <x:c r="C2" s="5" t="inlineStr">
        <x:is>
          <x:t xml:space="preserve">Busbar</x:t>
        </x:is>
      </x:c>
      <x:c r="D2" s="5" t="inlineStr">
        <x:is>
          <x:t xml:space="preserve">Electrical</x:t>
        </x:is>
      </x:c>
      <x:c r="E2" s="5" t="inlineStr">
        <x:is>
          <x:t xml:space="preserve">Metal</x:t>
        </x:is>
      </x:c>
      <x:c r="F2" s="5" t="inlineStr">
        <x:is>
          <x:t xml:space="preserve">Copper</x:t>
        </x:is>
      </x:c>
      <x:c r="G2" s="5" t="inlineStr">
        <x:is>
          <x:t xml:space="preserve">CU</x:t>
        </x:is>
      </x:c>
      <x:c r="H2" s="15" t="n">
        <x:v>0.5</x:v>
      </x:c>
      <x:c r="I2" s="15" t="n">
        <x:v>1</x:v>
      </x:c>
      <x:c r="J2" s="5" t="inlineStr">
        <x:is>
          <x:t xml:space="preserve">CN</x:t>
        </x:is>
      </x:c>
      <x:c r="K2" s="5" t="inlineStr">
        <x:is>
          <x:t xml:space="preserve">China</x:t>
        </x:is>
      </x:c>
      <x:c r="L2" s="5" t="inlineStr">
        <x:is>
          <x:t xml:space="preserve">stamping</x:t>
        </x:is>
      </x:c>
      <x:c r="M2" s="5" t="inlineStr">
        <x:is>
          <x:t xml:space="preserve">high</x:t>
        </x:is>
      </x:c>
      <x:c r="N2" s="5" t="inlineStr">
        <x:is>
          <x:t xml:space="preserve">A</x:t>
        </x:is>
      </x:c>
    </x:row>
    <x:row r="3">
      <x:c r="A3" s="5" t="n">
        <x:v>2</x:v>
      </x:c>
      <x:c r="B3" s="5" t="n">
        <x:v>1</x:v>
      </x:c>
      <x:c r="C3" s="5" t="inlineStr">
        <x:is>
          <x:t xml:space="preserve">Housing</x:t>
        </x:is>
      </x:c>
      <x:c r="D3" s="5" t="inlineStr">
        <x:is>
          <x:t xml:space="preserve">Mechanical</x:t>
        </x:is>
      </x:c>
      <x:c r="E3" s="5" t="inlineStr">
        <x:is>
          <x:t xml:space="preserve">Metal</x:t>
        </x:is>
      </x:c>
      <x:c r="F3" s="5" t="inlineStr">
        <x:is>
          <x:t xml:space="preserve">Aluminum</x:t>
        </x:is>
      </x:c>
      <x:c r="G3" s="5" t="inlineStr">
        <x:is>
          <x:t xml:space="preserve">AL</x:t>
        </x:is>
      </x:c>
      <x:c r="H3" s="15" t="n">
        <x:v>1.2</x:v>
      </x:c>
      <x:c r="I3" s="15" t="n">
        <x:v>1</x:v>
      </x:c>
      <x:c r="J3" s="5" t="inlineStr">
        <x:is>
          <x:t xml:space="preserve">KR</x:t>
        </x:is>
      </x:c>
      <x:c r="K3" s="5" t="inlineStr">
        <x:is>
          <x:t xml:space="preserve">Korea</x:t>
        </x:is>
      </x:c>
      <x:c r="L3" s="5" t="inlineStr">
        <x:is>
          <x:t xml:space="preserve">casting</x:t>
        </x:is>
      </x:c>
      <x:c r="M3" s="5" t="inlineStr">
        <x:is>
          <x:t xml:space="preserve">medium</x:t>
        </x:is>
      </x:c>
      <x:c r="N3" s="5" t="inlineStr">
        <x:is>
          <x:t xml:space="preserve">B</x:t>
        </x:is>
      </x:c>
    </x:row>
    <x:row r="4">
      <x:c r="A4" s="5" t="n">
        <x:v>3</x:v>
      </x:c>
      <x:c r="B4" s="5" t="n">
        <x:v>1</x:v>
      </x:c>
      <x:c r="C4" s="5" t="inlineStr">
        <x:is>
          <x:t xml:space="preserve">Cathode Material</x:t>
        </x:is>
      </x:c>
      <x:c r="D4" s="5" t="inlineStr">
        <x:is>
          <x:t xml:space="preserve">Battery</x:t>
        </x:is>
      </x:c>
      <x:c r="E4" s="5" t="inlineStr">
        <x:is>
          <x:t xml:space="preserve">Battery Mineral</x:t>
        </x:is>
      </x:c>
      <x:c r="F4" s="5" t="inlineStr">
        <x:is>
          <x:t xml:space="preserve">Lithium Carbonate</x:t>
        </x:is>
      </x:c>
      <x:c r="G4" s="5" t="inlineStr">
        <x:is>
          <x:t xml:space="preserve">LI_CARB</x:t>
        </x:is>
      </x:c>
      <x:c r="H4" s="15" t="n">
        <x:v>0.3</x:v>
      </x:c>
      <x:c r="I4" s="15" t="n">
        <x:v>1</x:v>
      </x:c>
      <x:c r="J4" s="5" t="inlineStr">
        <x:is>
          <x:t xml:space="preserve">AU</x:t>
        </x:is>
      </x:c>
      <x:c r="K4" s="5" t="inlineStr">
        <x:is>
          <x:t xml:space="preserve">Australia</x:t>
        </x:is>
      </x:c>
      <x:c r="L4" s="5" t="inlineStr">
        <x:is>
          <x:t xml:space="preserve">assembly</x:t>
        </x:is>
      </x:c>
      <x:c r="M4" s="5" t="inlineStr">
        <x:is>
          <x:t xml:space="preserve">low</x:t>
        </x:is>
      </x:c>
      <x:c r="N4" s="5" t="inlineStr">
        <x:is>
          <x:t xml:space="preserve">A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2" customWidth="1"/>
    <x:col min="3" max="3" width="18" customWidth="1"/>
    <x:col min="4" max="4" width="18" customWidth="1"/>
    <x:col min="5" max="5" width="18" customWidth="1"/>
    <x:col min="6" max="6" width="16" customWidth="1"/>
    <x:col min="7" max="7" width="12" customWidth="1"/>
    <x:col min="8" max="8" width="14" customWidth="1"/>
    <x:col min="9" max="9" width="24" customWidth="1"/>
  </x:cols>
  <x:sheetData>
    <x:row r="1" ht="22" customHeight="1">
      <x:c r="A1" s="4" t="inlineStr">
        <x:is>
          <x:t xml:space="preserve">scenario_id</x:t>
        </x:is>
      </x:c>
      <x:c r="B1" s="4" t="inlineStr">
        <x:is>
          <x:t xml:space="preserve">scenario_name</x:t>
        </x:is>
      </x:c>
      <x:c r="C1" s="4" t="inlineStr">
        <x:is>
          <x:t xml:space="preserve">copper_delta_pct</x:t>
        </x:is>
      </x:c>
      <x:c r="D1" s="4" t="inlineStr">
        <x:is>
          <x:t xml:space="preserve">aluminum_delta_pct</x:t>
        </x:is>
      </x:c>
      <x:c r="E1" s="4" t="inlineStr">
        <x:is>
          <x:t xml:space="preserve">lithium_delta_pct</x:t>
        </x:is>
      </x:c>
      <x:c r="F1" s="4" t="inlineStr">
        <x:is>
          <x:t xml:space="preserve">energy_delta_pct</x:t>
        </x:is>
      </x:c>
      <x:c r="G1" s="4" t="inlineStr">
        <x:is>
          <x:t xml:space="preserve">fx_delta_pct</x:t>
        </x:is>
      </x:c>
      <x:c r="H1" s="4" t="inlineStr">
        <x:is>
          <x:t xml:space="preserve">base_date</x:t>
        </x:is>
      </x:c>
      <x:c r="I1" s="4" t="inlineStr">
        <x:is>
          <x:t xml:space="preserve">notes</x:t>
        </x:is>
      </x:c>
    </x:row>
    <x:row r="2">
      <x:c r="A2" s="5" t="n">
        <x:v>1</x:v>
      </x:c>
      <x:c r="B2" s="5" t="inlineStr">
        <x:is>
          <x:t xml:space="preserve">Base</x:t>
        </x:is>
      </x:c>
      <x:c r="C2" s="16" t="n">
        <x:v>0</x:v>
      </x:c>
      <x:c r="D2" s="16" t="n">
        <x:v>0</x:v>
      </x:c>
      <x:c r="E2" s="16" t="n">
        <x:v>0</x:v>
      </x:c>
      <x:c r="F2" s="16" t="n">
        <x:v>0</x:v>
      </x:c>
      <x:c r="G2" s="16" t="n">
        <x:v>0</x:v>
      </x:c>
      <x:c r="H2" s="17" t="n">
        <x:v>45658</x:v>
      </x:c>
      <x:c r="I2" s="5" t="inlineStr">
        <x:is>
          <x:t xml:space="preserve">No shock</x:t>
        </x:is>
      </x:c>
    </x:row>
    <x:row r="3">
      <x:c r="A3" s="5" t="n">
        <x:v>2</x:v>
      </x:c>
      <x:c r="B3" s="5" t="inlineStr">
        <x:is>
          <x:t xml:space="preserve">Shock</x:t>
        </x:is>
      </x:c>
      <x:c r="C3" s="16" t="n">
        <x:v>0.18</x:v>
      </x:c>
      <x:c r="D3" s="16" t="n">
        <x:v>0.12</x:v>
      </x:c>
      <x:c r="E3" s="16" t="n">
        <x:v>0.25</x:v>
      </x:c>
      <x:c r="F3" s="16" t="n">
        <x:v>0.09</x:v>
      </x:c>
      <x:c r="G3" s="16" t="n">
        <x:v>0.02</x:v>
      </x:c>
      <x:c r="H3" s="17" t="n">
        <x:v>45658</x:v>
      </x:c>
      <x:c r="I3" s="5" t="inlineStr">
        <x:is>
          <x:t xml:space="preserve">Commodity and energy shock</x:t>
        </x:is>
      </x:c>
    </x:row>
    <x:row r="4">
      <x:c r="A4" s="5" t="n">
        <x:v>3</x:v>
      </x:c>
      <x:c r="B4" s="5" t="inlineStr">
        <x:is>
          <x:t xml:space="preserve">Stress</x:t>
        </x:is>
      </x:c>
      <x:c r="C4" s="16" t="n">
        <x:v>0.3</x:v>
      </x:c>
      <x:c r="D4" s="16" t="n">
        <x:v>0.2</x:v>
      </x:c>
      <x:c r="E4" s="16" t="n">
        <x:v>0.4</x:v>
      </x:c>
      <x:c r="F4" s="16" t="n">
        <x:v>0.15</x:v>
      </x:c>
      <x:c r="G4" s="16" t="n">
        <x:v>0.05</x:v>
      </x:c>
      <x:c r="H4" s="17" t="n">
        <x:v>45658</x:v>
      </x:c>
      <x:c r="I4" s="5" t="inlineStr">
        <x:is>
          <x:t xml:space="preserve">Severe stress case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8" customWidth="1"/>
    <x:col min="3" max="3" width="10" customWidth="1"/>
    <x:col min="4" max="4" width="10" customWidth="1"/>
    <x:col min="5" max="5" width="22" customWidth="1"/>
    <x:col min="6" max="6" width="16" customWidth="1"/>
    <x:col min="7" max="7" width="12" customWidth="1"/>
    <x:col min="8" max="8" width="10" customWidth="1"/>
    <x:col min="9" max="9" width="16" customWidth="1"/>
    <x:col min="10" max="10" width="18" customWidth="1"/>
    <x:col min="11" max="11" width="12" customWidth="1"/>
    <x:col min="12" max="12" width="16" customWidth="1"/>
    <x:col min="13" max="13" width="16" customWidth="1"/>
    <x:col min="14" max="14" width="18" customWidth="1"/>
    <x:col min="15" max="15" width="20" customWidth="1"/>
    <x:col min="16" max="16" width="18" customWidth="1"/>
    <x:col min="17" max="17" width="16" customWidth="1"/>
    <x:col min="18" max="18" width="16" customWidth="1"/>
    <x:col min="19" max="19" width="16" customWidth="1"/>
    <x:col min="20" max="20" width="18" customWidth="1"/>
    <x:col min="21" max="21" width="12" customWidth="1"/>
    <x:col min="22" max="22" width="16" customWidth="1"/>
    <x:col min="23" max="23" width="12" customWidth="1"/>
    <x:col min="24" max="24" width="18" customWidth="1"/>
    <x:col min="25" max="25" width="18" customWidth="1"/>
    <x:col min="26" max="26" width="16" customWidth="1"/>
    <x:col min="27" max="27" width="18" customWidth="1"/>
    <x:col min="28" max="28" width="14" customWidth="1"/>
    <x:col min="29" max="29" width="14" customWidth="1"/>
  </x:cols>
  <x:sheetData>
    <x:row r="1" ht="22" customHeight="1">
      <x:c r="A1" s="4" t="inlineStr">
        <x:is>
          <x:t xml:space="preserve">scenario_id</x:t>
        </x:is>
      </x:c>
      <x:c r="B1" s="4" t="inlineStr">
        <x:is>
          <x:t xml:space="preserve">scenario_name</x:t>
        </x:is>
      </x:c>
      <x:c r="C1" s="4" t="inlineStr">
        <x:is>
          <x:t xml:space="preserve">product_id</x:t>
        </x:is>
      </x:c>
      <x:c r="D1" s="4" t="inlineStr">
        <x:is>
          <x:t xml:space="preserve">part_id</x:t>
        </x:is>
      </x:c>
      <x:c r="E1" s="4" t="inlineStr">
        <x:is>
          <x:t xml:space="preserve">part_name</x:t>
        </x:is>
      </x:c>
      <x:c r="F1" s="4" t="inlineStr">
        <x:is>
          <x:t xml:space="preserve">commodity_code</x:t>
        </x:is>
      </x:c>
      <x:c r="G1" s="4" t="inlineStr">
        <x:is>
          <x:t xml:space="preserve">weight_kg</x:t>
        </x:is>
      </x:c>
      <x:c r="H1" s="4" t="inlineStr">
        <x:is>
          <x:t xml:space="preserve">qty</x:t>
        </x:is>
      </x:c>
      <x:c r="I1" s="4" t="inlineStr">
        <x:is>
          <x:t xml:space="preserve">supplier_country</x:t>
        </x:is>
      </x:c>
      <x:c r="J1" s="4" t="inlineStr">
        <x:is>
          <x:t xml:space="preserve">process_name</x:t>
        </x:is>
      </x:c>
      <x:c r="K1" s="4" t="inlineStr">
        <x:is>
          <x:t xml:space="preserve">wave_class</x:t>
        </x:is>
      </x:c>
      <x:c r="L1" s="4" t="inlineStr">
        <x:is>
          <x:t xml:space="preserve">base_price_usd_ton</x:t>
        </x:is>
      </x:c>
      <x:c r="M1" s="4" t="inlineStr">
        <x:is>
          <x:t xml:space="preserve">scenario_delta_pct</x:t>
        </x:is>
      </x:c>
      <x:c r="N1" s="4" t="inlineStr">
        <x:is>
          <x:t xml:space="preserve">base_material_cost</x:t>
        </x:is>
      </x:c>
      <x:c r="O1" s="4" t="inlineStr">
        <x:is>
          <x:t xml:space="preserve">scenario_material_cost</x:t>
        </x:is>
      </x:c>
      <x:c r="P1" s="4" t="inlineStr">
        <x:is>
          <x:t xml:space="preserve">energy_kwh_per_kg</x:t>
        </x:is>
      </x:c>
      <x:c r="Q1" s="4" t="inlineStr">
        <x:is>
          <x:t xml:space="preserve">electricity_price</x:t>
        </x:is>
      </x:c>
      <x:c r="R1" s="4" t="inlineStr">
        <x:is>
          <x:t xml:space="preserve">base_energy_cost</x:t>
        </x:is>
      </x:c>
      <x:c r="S1" s="4" t="inlineStr">
        <x:is>
          <x:t xml:space="preserve">energy_delta_pct</x:t>
        </x:is>
      </x:c>
      <x:c r="T1" s="4" t="inlineStr">
        <x:is>
          <x:t xml:space="preserve">scenario_energy_cost</x:t>
        </x:is>
      </x:c>
      <x:c r="U1" s="4" t="inlineStr">
        <x:is>
          <x:t xml:space="preserve">reg_severity</x:t>
        </x:is>
      </x:c>
      <x:c r="V1" s="4" t="inlineStr">
        <x:is>
          <x:t xml:space="preserve">country_total_risk</x:t>
        </x:is>
      </x:c>
      <x:c r="W1" s="4" t="inlineStr">
        <x:is>
          <x:t xml:space="preserve">delay_months</x:t>
        </x:is>
      </x:c>
      <x:c r="X1" s="4" t="inlineStr">
        <x:is>
          <x:t xml:space="preserve">amplification_factor</x:t>
        </x:is>
      </x:c>
      <x:c r="Y1" s="4" t="inlineStr">
        <x:is>
          <x:t xml:space="preserve">wave_adjusted_cost</x:t>
        </x:is>
      </x:c>
      <x:c r="Z1" s="4" t="inlineStr">
        <x:is>
          <x:t xml:space="preserve">total_base_cost</x:t>
        </x:is>
      </x:c>
      <x:c r="AA1" s="4" t="inlineStr">
        <x:is>
          <x:t xml:space="preserve">total_scenario_cost</x:t>
        </x:is>
      </x:c>
      <x:c r="AB1" s="4" t="inlineStr">
        <x:is>
          <x:t xml:space="preserve">cost_delta_pct</x:t>
        </x:is>
      </x:c>
      <x:c r="AC1" s="4" t="inlineStr">
        <x:is>
          <x:t xml:space="preserve">review_flag</x:t>
        </x:is>
      </x:c>
    </x:row>
    <x:row r="2">
      <x:c r="A2" s="15" t="n">
        <x:v>1</x:v>
      </x:c>
      <x:c r="B2" s="18" t="str">
        <x:f>INDEX(scenarios!$B:$B,MATCH($A2,scenarios!$A:$A,0))</x:f>
        <x:v>Base</x:v>
      </x:c>
      <x:c r="C2" s="18">
        <x:f>INDEX(bom_parts!$B:$B,MATCH($D2,bom_parts!$A:$A,0))</x:f>
        <x:v>1</x:v>
      </x:c>
      <x:c r="D2" s="15" t="n">
        <x:v>1</x:v>
      </x:c>
      <x:c r="E2" s="18" t="str">
        <x:f>INDEX(bom_parts!$C:$C,MATCH($D2,bom_parts!$A:$A,0))</x:f>
        <x:v>Busbar</x:v>
      </x:c>
      <x:c r="F2" s="18" t="str">
        <x:f>INDEX(bom_parts!$G:$G,MATCH($D2,bom_parts!$A:$A,0))</x:f>
        <x:v>CU</x:v>
      </x:c>
      <x:c r="G2" s="19">
        <x:f>INDEX(bom_parts!$H:$H,MATCH($D2,bom_parts!$A:$A,0))</x:f>
        <x:v>0.5</x:v>
      </x:c>
      <x:c r="H2" s="19">
        <x:f>INDEX(bom_parts!$I:$I,MATCH($D2,bom_parts!$A:$A,0))</x:f>
        <x:v>1</x:v>
      </x:c>
      <x:c r="I2" s="18" t="str">
        <x:f>INDEX(bom_parts!$J:$J,MATCH($D2,bom_parts!$A:$A,0))</x:f>
        <x:v>CN</x:v>
      </x:c>
      <x:c r="J2" s="18" t="str">
        <x:f>INDEX(bom_parts!$L:$L,MATCH($D2,bom_parts!$A:$A,0))</x:f>
        <x:v>stamping</x:v>
      </x:c>
      <x:c r="K2" s="18" t="str">
        <x:f>INDEX(bom_parts!$N:$N,MATCH($D2,bom_parts!$A:$A,0))</x:f>
        <x:v>A</x:v>
      </x:c>
      <x:c r="L2" s="19">
        <x:f>SUMIFS(commodity_price!$H:$H,commodity_price!$A:$A,$F2,commodity_price!$B:$B,INDEX(scenarios!$H:$H,MATCH($A2,scenarios!$A:$A,0)))</x:f>
        <x:v>8500</x:v>
      </x:c>
      <x:c r="M2" s="20">
        <x:f>IF($F2="CU",INDEX(scenarios!$C:$C,MATCH($A2,scenarios!$A:$A,0)),IF($F2="AL",INDEX(scenarios!$D:$D,MATCH($A2,scenarios!$A:$A,0)),IF($F2="LI_CARB",INDEX(scenarios!$E:$E,MATCH($A2,scenarios!$A:$A,0)),0)))</x:f>
        <x:v>0</x:v>
      </x:c>
      <x:c r="N2" s="19">
        <x:f>($G2*$H2)*($L2/1000)</x:f>
        <x:v>4.25</x:v>
      </x:c>
      <x:c r="O2" s="19">
        <x:f>N2*(1+M2)</x:f>
        <x:v>4.25</x:v>
      </x:c>
      <x:c r="P2" s="19">
        <x:f>SUMIFS(process_energy_model!$B:$B,process_energy_model!$A:$A,$J2)</x:f>
        <x:v>0.25</x:v>
      </x:c>
      <x:c r="Q2" s="19">
        <x:f>SUMIFS(energy_price!$C:$C,energy_price!$A:$A,$I2,energy_price!$B:$B,INDEX(scenarios!$H:$H,MATCH($A2,scenarios!$A:$A,0)))</x:f>
        <x:v>0.1</x:v>
      </x:c>
      <x:c r="R2" s="19">
        <x:f>($G2*$H2)*P2*Q2</x:f>
        <x:v>0.0125</x:v>
      </x:c>
      <x:c r="S2" s="20">
        <x:f>INDEX(scenarios!$F:$F,MATCH($A2,scenarios!$A:$A,0))</x:f>
        <x:v>0</x:v>
      </x:c>
      <x:c r="T2" s="19">
        <x:f>R2*(1+S2)</x:f>
        <x:v>0.0125</x:v>
      </x:c>
      <x:c r="U2" s="21">
        <x:f>SUMIFS(regulation_events!$G:$G,regulation_events!$D:$D,$F2,regulation_events!$C:$C,$I2)</x:f>
        <x:v>2</x:v>
      </x:c>
      <x:c r="V2" s="19">
        <x:f>SUMIFS(country_risk!$G:$G,country_risk!$A:$A,$I2,country_risk!$B:$B,INDEX(scenarios!$H:$H,MATCH($A2,scenarios!$A:$A,0)))</x:f>
        <x:v>141</x:v>
      </x:c>
      <x:c r="W2" s="21">
        <x:f>SUMIFS(wave_model!$B:$B,wave_model!$A:$A,$K2)</x:f>
        <x:v>4</x:v>
      </x:c>
      <x:c r="X2" s="19">
        <x:f>SUMIFS(wave_model!$C:$C,wave_model!$A:$A,$K2)</x:f>
        <x:v>1.1</x:v>
      </x:c>
      <x:c r="Y2" s="19">
        <x:f>(O2+T2)*X2</x:f>
        <x:v>4.688750000000001</x:v>
      </x:c>
      <x:c r="Z2" s="19">
        <x:f>N2+R2</x:f>
        <x:v>4.2625</x:v>
      </x:c>
      <x:c r="AA2" s="19">
        <x:f>Y2</x:f>
        <x:v>4.688750000000001</x:v>
      </x:c>
      <x:c r="AB2" s="20">
        <x:f>IF(Z2=0,0,AA2/Z2-1)</x:f>
        <x:v>0.10000000000000009</x:v>
      </x:c>
      <x:c r="AC2" s="18" t="str">
        <x:f>IF(AB2&gt;0.1,"REVIEW","OK")</x:f>
        <x:v>OK</x:v>
      </x:c>
    </x:row>
    <x:row r="3">
      <x:c r="A3" s="15" t="n">
        <x:v>1</x:v>
      </x:c>
      <x:c r="B3" s="18" t="str">
        <x:f>INDEX(scenarios!$B:$B,MATCH($A3,scenarios!$A:$A,0))</x:f>
        <x:v>Base</x:v>
      </x:c>
      <x:c r="C3" s="18">
        <x:f>INDEX(bom_parts!$B:$B,MATCH($D3,bom_parts!$A:$A,0))</x:f>
        <x:v>1</x:v>
      </x:c>
      <x:c r="D3" s="15" t="n">
        <x:v>2</x:v>
      </x:c>
      <x:c r="E3" s="18" t="str">
        <x:f>INDEX(bom_parts!$C:$C,MATCH($D3,bom_parts!$A:$A,0))</x:f>
        <x:v>Housing</x:v>
      </x:c>
      <x:c r="F3" s="18" t="str">
        <x:f>INDEX(bom_parts!$G:$G,MATCH($D3,bom_parts!$A:$A,0))</x:f>
        <x:v>AL</x:v>
      </x:c>
      <x:c r="G3" s="19">
        <x:f>INDEX(bom_parts!$H:$H,MATCH($D3,bom_parts!$A:$A,0))</x:f>
        <x:v>1.2</x:v>
      </x:c>
      <x:c r="H3" s="19">
        <x:f>INDEX(bom_parts!$I:$I,MATCH($D3,bom_parts!$A:$A,0))</x:f>
        <x:v>1</x:v>
      </x:c>
      <x:c r="I3" s="18" t="str">
        <x:f>INDEX(bom_parts!$J:$J,MATCH($D3,bom_parts!$A:$A,0))</x:f>
        <x:v>KR</x:v>
      </x:c>
      <x:c r="J3" s="18" t="str">
        <x:f>INDEX(bom_parts!$L:$L,MATCH($D3,bom_parts!$A:$A,0))</x:f>
        <x:v>casting</x:v>
      </x:c>
      <x:c r="K3" s="18" t="str">
        <x:f>INDEX(bom_parts!$N:$N,MATCH($D3,bom_parts!$A:$A,0))</x:f>
        <x:v>B</x:v>
      </x:c>
      <x:c r="L3" s="19">
        <x:f>SUMIFS(commodity_price!$H:$H,commodity_price!$A:$A,$F3,commodity_price!$B:$B,INDEX(scenarios!$H:$H,MATCH($A3,scenarios!$A:$A,0)))</x:f>
        <x:v>2200</x:v>
      </x:c>
      <x:c r="M3" s="20">
        <x:f>IF($F3="CU",INDEX(scenarios!$C:$C,MATCH($A3,scenarios!$A:$A,0)),IF($F3="AL",INDEX(scenarios!$D:$D,MATCH($A3,scenarios!$A:$A,0)),IF($F3="LI_CARB",INDEX(scenarios!$E:$E,MATCH($A3,scenarios!$A:$A,0)),0)))</x:f>
        <x:v>0</x:v>
      </x:c>
      <x:c r="N3" s="19">
        <x:f>($G3*$H3)*($L3/1000)</x:f>
        <x:v>2.64</x:v>
      </x:c>
      <x:c r="O3" s="19">
        <x:f>N3*(1+M3)</x:f>
        <x:v>2.64</x:v>
      </x:c>
      <x:c r="P3" s="19">
        <x:f>SUMIFS(process_energy_model!$B:$B,process_energy_model!$A:$A,$J3)</x:f>
        <x:v>0.45</x:v>
      </x:c>
      <x:c r="Q3" s="19">
        <x:f>SUMIFS(energy_price!$C:$C,energy_price!$A:$A,$I3,energy_price!$B:$B,INDEX(scenarios!$H:$H,MATCH($A3,scenarios!$A:$A,0)))</x:f>
        <x:v>0.12</x:v>
      </x:c>
      <x:c r="R3" s="19">
        <x:f>($G3*$H3)*P3*Q3</x:f>
        <x:v>0.0648</x:v>
      </x:c>
      <x:c r="S3" s="20">
        <x:f>INDEX(scenarios!$F:$F,MATCH($A3,scenarios!$A:$A,0))</x:f>
        <x:v>0</x:v>
      </x:c>
      <x:c r="T3" s="19">
        <x:f>R3*(1+S3)</x:f>
        <x:v>0.0648</x:v>
      </x:c>
      <x:c r="U3" s="21">
        <x:f>SUMIFS(regulation_events!$G:$G,regulation_events!$D:$D,$F3,regulation_events!$C:$C,$I3)</x:f>
        <x:v>0</x:v>
      </x:c>
      <x:c r="V3" s="19">
        <x:f>SUMIFS(country_risk!$G:$G,country_risk!$A:$A,$I3,country_risk!$B:$B,INDEX(scenarios!$H:$H,MATCH($A3,scenarios!$A:$A,0)))</x:f>
        <x:v>78</x:v>
      </x:c>
      <x:c r="W3" s="21">
        <x:f>SUMIFS(wave_model!$B:$B,wave_model!$A:$A,$K3)</x:f>
        <x:v>6</x:v>
      </x:c>
      <x:c r="X3" s="19">
        <x:f>SUMIFS(wave_model!$C:$C,wave_model!$A:$A,$K3)</x:f>
        <x:v>1.2</x:v>
      </x:c>
      <x:c r="Y3" s="19">
        <x:f>(O3+T3)*X3</x:f>
        <x:v>3.24576</x:v>
      </x:c>
      <x:c r="Z3" s="19">
        <x:f>N3+R3</x:f>
        <x:v>2.7048</x:v>
      </x:c>
      <x:c r="AA3" s="19">
        <x:f>Y3</x:f>
        <x:v>3.24576</x:v>
      </x:c>
      <x:c r="AB3" s="20">
        <x:f>IF(Z3=0,0,AA3/Z3-1)</x:f>
        <x:v>0.19999999999999996</x:v>
      </x:c>
      <x:c r="AC3" s="18" t="str">
        <x:f>IF(AB3&gt;0.1,"REVIEW","OK")</x:f>
        <x:v>REVIEW</x:v>
      </x:c>
    </x:row>
    <x:row r="4">
      <x:c r="A4" s="15" t="n">
        <x:v>1</x:v>
      </x:c>
      <x:c r="B4" s="18" t="str">
        <x:f>INDEX(scenarios!$B:$B,MATCH($A4,scenarios!$A:$A,0))</x:f>
        <x:v>Base</x:v>
      </x:c>
      <x:c r="C4" s="18">
        <x:f>INDEX(bom_parts!$B:$B,MATCH($D4,bom_parts!$A:$A,0))</x:f>
        <x:v>1</x:v>
      </x:c>
      <x:c r="D4" s="15" t="n">
        <x:v>3</x:v>
      </x:c>
      <x:c r="E4" s="18" t="str">
        <x:f>INDEX(bom_parts!$C:$C,MATCH($D4,bom_parts!$A:$A,0))</x:f>
        <x:v>Cathode Material</x:v>
      </x:c>
      <x:c r="F4" s="18" t="str">
        <x:f>INDEX(bom_parts!$G:$G,MATCH($D4,bom_parts!$A:$A,0))</x:f>
        <x:v>LI_CARB</x:v>
      </x:c>
      <x:c r="G4" s="19">
        <x:f>INDEX(bom_parts!$H:$H,MATCH($D4,bom_parts!$A:$A,0))</x:f>
        <x:v>0.3</x:v>
      </x:c>
      <x:c r="H4" s="19">
        <x:f>INDEX(bom_parts!$I:$I,MATCH($D4,bom_parts!$A:$A,0))</x:f>
        <x:v>1</x:v>
      </x:c>
      <x:c r="I4" s="18" t="str">
        <x:f>INDEX(bom_parts!$J:$J,MATCH($D4,bom_parts!$A:$A,0))</x:f>
        <x:v>AU</x:v>
      </x:c>
      <x:c r="J4" s="18" t="str">
        <x:f>INDEX(bom_parts!$L:$L,MATCH($D4,bom_parts!$A:$A,0))</x:f>
        <x:v>assembly</x:v>
      </x:c>
      <x:c r="K4" s="18" t="str">
        <x:f>INDEX(bom_parts!$N:$N,MATCH($D4,bom_parts!$A:$A,0))</x:f>
        <x:v>A</x:v>
      </x:c>
      <x:c r="L4" s="19">
        <x:f>SUMIFS(commodity_price!$H:$H,commodity_price!$A:$A,$F4,commodity_price!$B:$B,INDEX(scenarios!$H:$H,MATCH($A4,scenarios!$A:$A,0)))</x:f>
        <x:v>13000</x:v>
      </x:c>
      <x:c r="M4" s="20">
        <x:f>IF($F4="CU",INDEX(scenarios!$C:$C,MATCH($A4,scenarios!$A:$A,0)),IF($F4="AL",INDEX(scenarios!$D:$D,MATCH($A4,scenarios!$A:$A,0)),IF($F4="LI_CARB",INDEX(scenarios!$E:$E,MATCH($A4,scenarios!$A:$A,0)),0)))</x:f>
        <x:v>0</x:v>
      </x:c>
      <x:c r="N4" s="19">
        <x:f>($G4*$H4)*($L4/1000)</x:f>
        <x:v>3.9</x:v>
      </x:c>
      <x:c r="O4" s="19">
        <x:f>N4*(1+M4)</x:f>
        <x:v>3.9</x:v>
      </x:c>
      <x:c r="P4" s="19">
        <x:f>SUMIFS(process_energy_model!$B:$B,process_energy_model!$A:$A,$J4)</x:f>
        <x:v>0.15</x:v>
      </x:c>
      <x:c r="Q4" s="19">
        <x:f>SUMIFS(energy_price!$C:$C,energy_price!$A:$A,$I4,energy_price!$B:$B,INDEX(scenarios!$H:$H,MATCH($A4,scenarios!$A:$A,0)))</x:f>
        <x:v>0</x:v>
      </x:c>
      <x:c r="R4" s="19">
        <x:f>($G4*$H4)*P4*Q4</x:f>
        <x:v>0</x:v>
      </x:c>
      <x:c r="S4" s="20">
        <x:f>INDEX(scenarios!$F:$F,MATCH($A4,scenarios!$A:$A,0))</x:f>
        <x:v>0</x:v>
      </x:c>
      <x:c r="T4" s="19">
        <x:f>R4*(1+S4)</x:f>
        <x:v>0</x:v>
      </x:c>
      <x:c r="U4" s="21">
        <x:f>SUMIFS(regulation_events!$G:$G,regulation_events!$D:$D,$F4,regulation_events!$C:$C,$I4)</x:f>
        <x:v>0</x:v>
      </x:c>
      <x:c r="V4" s="19">
        <x:f>SUMIFS(country_risk!$G:$G,country_risk!$A:$A,$I4,country_risk!$B:$B,INDEX(scenarios!$H:$H,MATCH($A4,scenarios!$A:$A,0)))</x:f>
        <x:v>56</x:v>
      </x:c>
      <x:c r="W4" s="21">
        <x:f>SUMIFS(wave_model!$B:$B,wave_model!$A:$A,$K4)</x:f>
        <x:v>4</x:v>
      </x:c>
      <x:c r="X4" s="19">
        <x:f>SUMIFS(wave_model!$C:$C,wave_model!$A:$A,$K4)</x:f>
        <x:v>1.1</x:v>
      </x:c>
      <x:c r="Y4" s="19">
        <x:f>(O4+T4)*X4</x:f>
        <x:v>4.29</x:v>
      </x:c>
      <x:c r="Z4" s="19">
        <x:f>N4+R4</x:f>
        <x:v>3.9</x:v>
      </x:c>
      <x:c r="AA4" s="19">
        <x:f>Y4</x:f>
        <x:v>4.29</x:v>
      </x:c>
      <x:c r="AB4" s="20">
        <x:f>IF(Z4=0,0,AA4/Z4-1)</x:f>
        <x:v>0.10000000000000009</x:v>
      </x:c>
      <x:c r="AC4" s="18" t="str">
        <x:f>IF(AB4&gt;0.1,"REVIEW","OK")</x:f>
        <x:v>OK</x:v>
      </x:c>
    </x:row>
    <x:row r="5">
      <x:c r="A5" s="15" t="n">
        <x:v>2</x:v>
      </x:c>
      <x:c r="B5" s="18" t="str">
        <x:f>INDEX(scenarios!$B:$B,MATCH($A5,scenarios!$A:$A,0))</x:f>
        <x:v>Shock</x:v>
      </x:c>
      <x:c r="C5" s="18">
        <x:f>INDEX(bom_parts!$B:$B,MATCH($D5,bom_parts!$A:$A,0))</x:f>
        <x:v>1</x:v>
      </x:c>
      <x:c r="D5" s="15" t="n">
        <x:v>1</x:v>
      </x:c>
      <x:c r="E5" s="18" t="str">
        <x:f>INDEX(bom_parts!$C:$C,MATCH($D5,bom_parts!$A:$A,0))</x:f>
        <x:v>Busbar</x:v>
      </x:c>
      <x:c r="F5" s="18" t="str">
        <x:f>INDEX(bom_parts!$G:$G,MATCH($D5,bom_parts!$A:$A,0))</x:f>
        <x:v>CU</x:v>
      </x:c>
      <x:c r="G5" s="19">
        <x:f>INDEX(bom_parts!$H:$H,MATCH($D5,bom_parts!$A:$A,0))</x:f>
        <x:v>0.5</x:v>
      </x:c>
      <x:c r="H5" s="19">
        <x:f>INDEX(bom_parts!$I:$I,MATCH($D5,bom_parts!$A:$A,0))</x:f>
        <x:v>1</x:v>
      </x:c>
      <x:c r="I5" s="18" t="str">
        <x:f>INDEX(bom_parts!$J:$J,MATCH($D5,bom_parts!$A:$A,0))</x:f>
        <x:v>CN</x:v>
      </x:c>
      <x:c r="J5" s="18" t="str">
        <x:f>INDEX(bom_parts!$L:$L,MATCH($D5,bom_parts!$A:$A,0))</x:f>
        <x:v>stamping</x:v>
      </x:c>
      <x:c r="K5" s="18" t="str">
        <x:f>INDEX(bom_parts!$N:$N,MATCH($D5,bom_parts!$A:$A,0))</x:f>
        <x:v>A</x:v>
      </x:c>
      <x:c r="L5" s="19">
        <x:f>SUMIFS(commodity_price!$H:$H,commodity_price!$A:$A,$F5,commodity_price!$B:$B,INDEX(scenarios!$H:$H,MATCH($A5,scenarios!$A:$A,0)))</x:f>
        <x:v>8500</x:v>
      </x:c>
      <x:c r="M5" s="20">
        <x:f>IF($F5="CU",INDEX(scenarios!$C:$C,MATCH($A5,scenarios!$A:$A,0)),IF($F5="AL",INDEX(scenarios!$D:$D,MATCH($A5,scenarios!$A:$A,0)),IF($F5="LI_CARB",INDEX(scenarios!$E:$E,MATCH($A5,scenarios!$A:$A,0)),0)))</x:f>
        <x:v>0.18</x:v>
      </x:c>
      <x:c r="N5" s="19">
        <x:f>($G5*$H5)*($L5/1000)</x:f>
        <x:v>4.25</x:v>
      </x:c>
      <x:c r="O5" s="19">
        <x:f>N5*(1+M5)</x:f>
        <x:v>5.015</x:v>
      </x:c>
      <x:c r="P5" s="19">
        <x:f>SUMIFS(process_energy_model!$B:$B,process_energy_model!$A:$A,$J5)</x:f>
        <x:v>0.25</x:v>
      </x:c>
      <x:c r="Q5" s="19">
        <x:f>SUMIFS(energy_price!$C:$C,energy_price!$A:$A,$I5,energy_price!$B:$B,INDEX(scenarios!$H:$H,MATCH($A5,scenarios!$A:$A,0)))</x:f>
        <x:v>0.1</x:v>
      </x:c>
      <x:c r="R5" s="19">
        <x:f>($G5*$H5)*P5*Q5</x:f>
        <x:v>0.0125</x:v>
      </x:c>
      <x:c r="S5" s="20">
        <x:f>INDEX(scenarios!$F:$F,MATCH($A5,scenarios!$A:$A,0))</x:f>
        <x:v>0.09</x:v>
      </x:c>
      <x:c r="T5" s="19">
        <x:f>R5*(1+S5)</x:f>
        <x:v>0.013625000000000002</x:v>
      </x:c>
      <x:c r="U5" s="21">
        <x:f>SUMIFS(regulation_events!$G:$G,regulation_events!$D:$D,$F5,regulation_events!$C:$C,$I5)</x:f>
        <x:v>2</x:v>
      </x:c>
      <x:c r="V5" s="19">
        <x:f>SUMIFS(country_risk!$G:$G,country_risk!$A:$A,$I5,country_risk!$B:$B,INDEX(scenarios!$H:$H,MATCH($A5,scenarios!$A:$A,0)))</x:f>
        <x:v>141</x:v>
      </x:c>
      <x:c r="W5" s="21">
        <x:f>SUMIFS(wave_model!$B:$B,wave_model!$A:$A,$K5)</x:f>
        <x:v>4</x:v>
      </x:c>
      <x:c r="X5" s="19">
        <x:f>SUMIFS(wave_model!$C:$C,wave_model!$A:$A,$K5)</x:f>
        <x:v>1.1</x:v>
      </x:c>
      <x:c r="Y5" s="19">
        <x:f>(O5+T5)*X5</x:f>
        <x:v>5.531487500000001</x:v>
      </x:c>
      <x:c r="Z5" s="19">
        <x:f>N5+R5</x:f>
        <x:v>4.2625</x:v>
      </x:c>
      <x:c r="AA5" s="19">
        <x:f>Y5</x:f>
        <x:v>5.531487500000001</x:v>
      </x:c>
      <x:c r="AB5" s="20">
        <x:f>IF(Z5=0,0,AA5/Z5-1)</x:f>
        <x:v>0.29770967741935506</x:v>
      </x:c>
      <x:c r="AC5" s="18" t="str">
        <x:f>IF(AB5&gt;0.1,"REVIEW","OK")</x:f>
        <x:v>REVIEW</x:v>
      </x:c>
    </x:row>
    <x:row r="6">
      <x:c r="A6" s="15" t="n">
        <x:v>2</x:v>
      </x:c>
      <x:c r="B6" s="18" t="str">
        <x:f>INDEX(scenarios!$B:$B,MATCH($A6,scenarios!$A:$A,0))</x:f>
        <x:v>Shock</x:v>
      </x:c>
      <x:c r="C6" s="18">
        <x:f>INDEX(bom_parts!$B:$B,MATCH($D6,bom_parts!$A:$A,0))</x:f>
        <x:v>1</x:v>
      </x:c>
      <x:c r="D6" s="15" t="n">
        <x:v>2</x:v>
      </x:c>
      <x:c r="E6" s="18" t="str">
        <x:f>INDEX(bom_parts!$C:$C,MATCH($D6,bom_parts!$A:$A,0))</x:f>
        <x:v>Housing</x:v>
      </x:c>
      <x:c r="F6" s="18" t="str">
        <x:f>INDEX(bom_parts!$G:$G,MATCH($D6,bom_parts!$A:$A,0))</x:f>
        <x:v>AL</x:v>
      </x:c>
      <x:c r="G6" s="19">
        <x:f>INDEX(bom_parts!$H:$H,MATCH($D6,bom_parts!$A:$A,0))</x:f>
        <x:v>1.2</x:v>
      </x:c>
      <x:c r="H6" s="19">
        <x:f>INDEX(bom_parts!$I:$I,MATCH($D6,bom_parts!$A:$A,0))</x:f>
        <x:v>1</x:v>
      </x:c>
      <x:c r="I6" s="18" t="str">
        <x:f>INDEX(bom_parts!$J:$J,MATCH($D6,bom_parts!$A:$A,0))</x:f>
        <x:v>KR</x:v>
      </x:c>
      <x:c r="J6" s="18" t="str">
        <x:f>INDEX(bom_parts!$L:$L,MATCH($D6,bom_parts!$A:$A,0))</x:f>
        <x:v>casting</x:v>
      </x:c>
      <x:c r="K6" s="18" t="str">
        <x:f>INDEX(bom_parts!$N:$N,MATCH($D6,bom_parts!$A:$A,0))</x:f>
        <x:v>B</x:v>
      </x:c>
      <x:c r="L6" s="19">
        <x:f>SUMIFS(commodity_price!$H:$H,commodity_price!$A:$A,$F6,commodity_price!$B:$B,INDEX(scenarios!$H:$H,MATCH($A6,scenarios!$A:$A,0)))</x:f>
        <x:v>2200</x:v>
      </x:c>
      <x:c r="M6" s="20">
        <x:f>IF($F6="CU",INDEX(scenarios!$C:$C,MATCH($A6,scenarios!$A:$A,0)),IF($F6="AL",INDEX(scenarios!$D:$D,MATCH($A6,scenarios!$A:$A,0)),IF($F6="LI_CARB",INDEX(scenarios!$E:$E,MATCH($A6,scenarios!$A:$A,0)),0)))</x:f>
        <x:v>0.12</x:v>
      </x:c>
      <x:c r="N6" s="19">
        <x:f>($G6*$H6)*($L6/1000)</x:f>
        <x:v>2.64</x:v>
      </x:c>
      <x:c r="O6" s="19">
        <x:f>N6*(1+M6)</x:f>
        <x:v>2.9568000000000003</x:v>
      </x:c>
      <x:c r="P6" s="19">
        <x:f>SUMIFS(process_energy_model!$B:$B,process_energy_model!$A:$A,$J6)</x:f>
        <x:v>0.45</x:v>
      </x:c>
      <x:c r="Q6" s="19">
        <x:f>SUMIFS(energy_price!$C:$C,energy_price!$A:$A,$I6,energy_price!$B:$B,INDEX(scenarios!$H:$H,MATCH($A6,scenarios!$A:$A,0)))</x:f>
        <x:v>0.12</x:v>
      </x:c>
      <x:c r="R6" s="19">
        <x:f>($G6*$H6)*P6*Q6</x:f>
        <x:v>0.0648</x:v>
      </x:c>
      <x:c r="S6" s="20">
        <x:f>INDEX(scenarios!$F:$F,MATCH($A6,scenarios!$A:$A,0))</x:f>
        <x:v>0.09</x:v>
      </x:c>
      <x:c r="T6" s="19">
        <x:f>R6*(1+S6)</x:f>
        <x:v>0.070632</x:v>
      </x:c>
      <x:c r="U6" s="21">
        <x:f>SUMIFS(regulation_events!$G:$G,regulation_events!$D:$D,$F6,regulation_events!$C:$C,$I6)</x:f>
        <x:v>0</x:v>
      </x:c>
      <x:c r="V6" s="19">
        <x:f>SUMIFS(country_risk!$G:$G,country_risk!$A:$A,$I6,country_risk!$B:$B,INDEX(scenarios!$H:$H,MATCH($A6,scenarios!$A:$A,0)))</x:f>
        <x:v>78</x:v>
      </x:c>
      <x:c r="W6" s="21">
        <x:f>SUMIFS(wave_model!$B:$B,wave_model!$A:$A,$K6)</x:f>
        <x:v>6</x:v>
      </x:c>
      <x:c r="X6" s="19">
        <x:f>SUMIFS(wave_model!$C:$C,wave_model!$A:$A,$K6)</x:f>
        <x:v>1.2</x:v>
      </x:c>
      <x:c r="Y6" s="19">
        <x:f>(O6+T6)*X6</x:f>
        <x:v>3.6329184</x:v>
      </x:c>
      <x:c r="Z6" s="19">
        <x:f>N6+R6</x:f>
        <x:v>2.7048</x:v>
      </x:c>
      <x:c r="AA6" s="19">
        <x:f>Y6</x:f>
        <x:v>3.6329184</x:v>
      </x:c>
      <x:c r="AB6" s="20">
        <x:f>IF(Z6=0,0,AA6/Z6-1)</x:f>
        <x:v>0.34313753327417906</x:v>
      </x:c>
      <x:c r="AC6" s="18" t="str">
        <x:f>IF(AB6&gt;0.1,"REVIEW","OK")</x:f>
        <x:v>REVIEW</x:v>
      </x:c>
    </x:row>
    <x:row r="7">
      <x:c r="A7" s="15" t="n">
        <x:v>2</x:v>
      </x:c>
      <x:c r="B7" s="18" t="str">
        <x:f>INDEX(scenarios!$B:$B,MATCH($A7,scenarios!$A:$A,0))</x:f>
        <x:v>Shock</x:v>
      </x:c>
      <x:c r="C7" s="18">
        <x:f>INDEX(bom_parts!$B:$B,MATCH($D7,bom_parts!$A:$A,0))</x:f>
        <x:v>1</x:v>
      </x:c>
      <x:c r="D7" s="15" t="n">
        <x:v>3</x:v>
      </x:c>
      <x:c r="E7" s="18" t="str">
        <x:f>INDEX(bom_parts!$C:$C,MATCH($D7,bom_parts!$A:$A,0))</x:f>
        <x:v>Cathode Material</x:v>
      </x:c>
      <x:c r="F7" s="18" t="str">
        <x:f>INDEX(bom_parts!$G:$G,MATCH($D7,bom_parts!$A:$A,0))</x:f>
        <x:v>LI_CARB</x:v>
      </x:c>
      <x:c r="G7" s="19">
        <x:f>INDEX(bom_parts!$H:$H,MATCH($D7,bom_parts!$A:$A,0))</x:f>
        <x:v>0.3</x:v>
      </x:c>
      <x:c r="H7" s="19">
        <x:f>INDEX(bom_parts!$I:$I,MATCH($D7,bom_parts!$A:$A,0))</x:f>
        <x:v>1</x:v>
      </x:c>
      <x:c r="I7" s="18" t="str">
        <x:f>INDEX(bom_parts!$J:$J,MATCH($D7,bom_parts!$A:$A,0))</x:f>
        <x:v>AU</x:v>
      </x:c>
      <x:c r="J7" s="18" t="str">
        <x:f>INDEX(bom_parts!$L:$L,MATCH($D7,bom_parts!$A:$A,0))</x:f>
        <x:v>assembly</x:v>
      </x:c>
      <x:c r="K7" s="18" t="str">
        <x:f>INDEX(bom_parts!$N:$N,MATCH($D7,bom_parts!$A:$A,0))</x:f>
        <x:v>A</x:v>
      </x:c>
      <x:c r="L7" s="19">
        <x:f>SUMIFS(commodity_price!$H:$H,commodity_price!$A:$A,$F7,commodity_price!$B:$B,INDEX(scenarios!$H:$H,MATCH($A7,scenarios!$A:$A,0)))</x:f>
        <x:v>13000</x:v>
      </x:c>
      <x:c r="M7" s="20">
        <x:f>IF($F7="CU",INDEX(scenarios!$C:$C,MATCH($A7,scenarios!$A:$A,0)),IF($F7="AL",INDEX(scenarios!$D:$D,MATCH($A7,scenarios!$A:$A,0)),IF($F7="LI_CARB",INDEX(scenarios!$E:$E,MATCH($A7,scenarios!$A:$A,0)),0)))</x:f>
        <x:v>0.25</x:v>
      </x:c>
      <x:c r="N7" s="19">
        <x:f>($G7*$H7)*($L7/1000)</x:f>
        <x:v>3.9</x:v>
      </x:c>
      <x:c r="O7" s="19">
        <x:f>N7*(1+M7)</x:f>
        <x:v>4.875</x:v>
      </x:c>
      <x:c r="P7" s="19">
        <x:f>SUMIFS(process_energy_model!$B:$B,process_energy_model!$A:$A,$J7)</x:f>
        <x:v>0.15</x:v>
      </x:c>
      <x:c r="Q7" s="19">
        <x:f>SUMIFS(energy_price!$C:$C,energy_price!$A:$A,$I7,energy_price!$B:$B,INDEX(scenarios!$H:$H,MATCH($A7,scenarios!$A:$A,0)))</x:f>
        <x:v>0</x:v>
      </x:c>
      <x:c r="R7" s="19">
        <x:f>($G7*$H7)*P7*Q7</x:f>
        <x:v>0</x:v>
      </x:c>
      <x:c r="S7" s="20">
        <x:f>INDEX(scenarios!$F:$F,MATCH($A7,scenarios!$A:$A,0))</x:f>
        <x:v>0.09</x:v>
      </x:c>
      <x:c r="T7" s="19">
        <x:f>R7*(1+S7)</x:f>
        <x:v>0</x:v>
      </x:c>
      <x:c r="U7" s="21">
        <x:f>SUMIFS(regulation_events!$G:$G,regulation_events!$D:$D,$F7,regulation_events!$C:$C,$I7)</x:f>
        <x:v>0</x:v>
      </x:c>
      <x:c r="V7" s="19">
        <x:f>SUMIFS(country_risk!$G:$G,country_risk!$A:$A,$I7,country_risk!$B:$B,INDEX(scenarios!$H:$H,MATCH($A7,scenarios!$A:$A,0)))</x:f>
        <x:v>56</x:v>
      </x:c>
      <x:c r="W7" s="21">
        <x:f>SUMIFS(wave_model!$B:$B,wave_model!$A:$A,$K7)</x:f>
        <x:v>4</x:v>
      </x:c>
      <x:c r="X7" s="19">
        <x:f>SUMIFS(wave_model!$C:$C,wave_model!$A:$A,$K7)</x:f>
        <x:v>1.1</x:v>
      </x:c>
      <x:c r="Y7" s="19">
        <x:f>(O7+T7)*X7</x:f>
        <x:v>5.362500000000001</x:v>
      </x:c>
      <x:c r="Z7" s="19">
        <x:f>N7+R7</x:f>
        <x:v>3.9</x:v>
      </x:c>
      <x:c r="AA7" s="19">
        <x:f>Y7</x:f>
        <x:v>5.362500000000001</x:v>
      </x:c>
      <x:c r="AB7" s="20">
        <x:f>IF(Z7=0,0,AA7/Z7-1)</x:f>
        <x:v>0.3750000000000002</x:v>
      </x:c>
      <x:c r="AC7" s="18" t="str">
        <x:f>IF(AB7&gt;0.1,"REVIEW","OK")</x:f>
        <x:v>REVIEW</x:v>
      </x:c>
    </x:row>
    <x:row r="8">
      <x:c r="A8" s="15" t="n">
        <x:v>3</x:v>
      </x:c>
      <x:c r="B8" s="18" t="str">
        <x:f>INDEX(scenarios!$B:$B,MATCH($A8,scenarios!$A:$A,0))</x:f>
        <x:v>Stress</x:v>
      </x:c>
      <x:c r="C8" s="18">
        <x:f>INDEX(bom_parts!$B:$B,MATCH($D8,bom_parts!$A:$A,0))</x:f>
        <x:v>1</x:v>
      </x:c>
      <x:c r="D8" s="15" t="n">
        <x:v>1</x:v>
      </x:c>
      <x:c r="E8" s="18" t="str">
        <x:f>INDEX(bom_parts!$C:$C,MATCH($D8,bom_parts!$A:$A,0))</x:f>
        <x:v>Busbar</x:v>
      </x:c>
      <x:c r="F8" s="18" t="str">
        <x:f>INDEX(bom_parts!$G:$G,MATCH($D8,bom_parts!$A:$A,0))</x:f>
        <x:v>CU</x:v>
      </x:c>
      <x:c r="G8" s="19">
        <x:f>INDEX(bom_parts!$H:$H,MATCH($D8,bom_parts!$A:$A,0))</x:f>
        <x:v>0.5</x:v>
      </x:c>
      <x:c r="H8" s="19">
        <x:f>INDEX(bom_parts!$I:$I,MATCH($D8,bom_parts!$A:$A,0))</x:f>
        <x:v>1</x:v>
      </x:c>
      <x:c r="I8" s="18" t="str">
        <x:f>INDEX(bom_parts!$J:$J,MATCH($D8,bom_parts!$A:$A,0))</x:f>
        <x:v>CN</x:v>
      </x:c>
      <x:c r="J8" s="18" t="str">
        <x:f>INDEX(bom_parts!$L:$L,MATCH($D8,bom_parts!$A:$A,0))</x:f>
        <x:v>stamping</x:v>
      </x:c>
      <x:c r="K8" s="18" t="str">
        <x:f>INDEX(bom_parts!$N:$N,MATCH($D8,bom_parts!$A:$A,0))</x:f>
        <x:v>A</x:v>
      </x:c>
      <x:c r="L8" s="19">
        <x:f>SUMIFS(commodity_price!$H:$H,commodity_price!$A:$A,$F8,commodity_price!$B:$B,INDEX(scenarios!$H:$H,MATCH($A8,scenarios!$A:$A,0)))</x:f>
        <x:v>8500</x:v>
      </x:c>
      <x:c r="M8" s="20">
        <x:f>IF($F8="CU",INDEX(scenarios!$C:$C,MATCH($A8,scenarios!$A:$A,0)),IF($F8="AL",INDEX(scenarios!$D:$D,MATCH($A8,scenarios!$A:$A,0)),IF($F8="LI_CARB",INDEX(scenarios!$E:$E,MATCH($A8,scenarios!$A:$A,0)),0)))</x:f>
        <x:v>0.3</x:v>
      </x:c>
      <x:c r="N8" s="19">
        <x:f>($G8*$H8)*($L8/1000)</x:f>
        <x:v>4.25</x:v>
      </x:c>
      <x:c r="O8" s="19">
        <x:f>N8*(1+M8)</x:f>
        <x:v>5.525</x:v>
      </x:c>
      <x:c r="P8" s="19">
        <x:f>SUMIFS(process_energy_model!$B:$B,process_energy_model!$A:$A,$J8)</x:f>
        <x:v>0.25</x:v>
      </x:c>
      <x:c r="Q8" s="19">
        <x:f>SUMIFS(energy_price!$C:$C,energy_price!$A:$A,$I8,energy_price!$B:$B,INDEX(scenarios!$H:$H,MATCH($A8,scenarios!$A:$A,0)))</x:f>
        <x:v>0.1</x:v>
      </x:c>
      <x:c r="R8" s="19">
        <x:f>($G8*$H8)*P8*Q8</x:f>
        <x:v>0.0125</x:v>
      </x:c>
      <x:c r="S8" s="20">
        <x:f>INDEX(scenarios!$F:$F,MATCH($A8,scenarios!$A:$A,0))</x:f>
        <x:v>0.15</x:v>
      </x:c>
      <x:c r="T8" s="19">
        <x:f>R8*(1+S8)</x:f>
        <x:v>0.014374999999999999</x:v>
      </x:c>
      <x:c r="U8" s="21">
        <x:f>SUMIFS(regulation_events!$G:$G,regulation_events!$D:$D,$F8,regulation_events!$C:$C,$I8)</x:f>
        <x:v>2</x:v>
      </x:c>
      <x:c r="V8" s="19">
        <x:f>SUMIFS(country_risk!$G:$G,country_risk!$A:$A,$I8,country_risk!$B:$B,INDEX(scenarios!$H:$H,MATCH($A8,scenarios!$A:$A,0)))</x:f>
        <x:v>141</x:v>
      </x:c>
      <x:c r="W8" s="21">
        <x:f>SUMIFS(wave_model!$B:$B,wave_model!$A:$A,$K8)</x:f>
        <x:v>4</x:v>
      </x:c>
      <x:c r="X8" s="19">
        <x:f>SUMIFS(wave_model!$C:$C,wave_model!$A:$A,$K8)</x:f>
        <x:v>1.1</x:v>
      </x:c>
      <x:c r="Y8" s="19">
        <x:f>(O8+T8)*X8</x:f>
        <x:v>6.0933125000000015</x:v>
      </x:c>
      <x:c r="Z8" s="19">
        <x:f>N8+R8</x:f>
        <x:v>4.2625</x:v>
      </x:c>
      <x:c r="AA8" s="19">
        <x:f>Y8</x:f>
        <x:v>6.0933125000000015</x:v>
      </x:c>
      <x:c r="AB8" s="20">
        <x:f>IF(Z8=0,0,AA8/Z8-1)</x:f>
        <x:v>0.42951612903225844</x:v>
      </x:c>
      <x:c r="AC8" s="18" t="str">
        <x:f>IF(AB8&gt;0.1,"REVIEW","OK")</x:f>
        <x:v>REVIEW</x:v>
      </x:c>
    </x:row>
    <x:row r="9">
      <x:c r="A9" s="15" t="n">
        <x:v>3</x:v>
      </x:c>
      <x:c r="B9" s="18" t="str">
        <x:f>INDEX(scenarios!$B:$B,MATCH($A9,scenarios!$A:$A,0))</x:f>
        <x:v>Stress</x:v>
      </x:c>
      <x:c r="C9" s="18">
        <x:f>INDEX(bom_parts!$B:$B,MATCH($D9,bom_parts!$A:$A,0))</x:f>
        <x:v>1</x:v>
      </x:c>
      <x:c r="D9" s="15" t="n">
        <x:v>2</x:v>
      </x:c>
      <x:c r="E9" s="18" t="str">
        <x:f>INDEX(bom_parts!$C:$C,MATCH($D9,bom_parts!$A:$A,0))</x:f>
        <x:v>Housing</x:v>
      </x:c>
      <x:c r="F9" s="18" t="str">
        <x:f>INDEX(bom_parts!$G:$G,MATCH($D9,bom_parts!$A:$A,0))</x:f>
        <x:v>AL</x:v>
      </x:c>
      <x:c r="G9" s="19">
        <x:f>INDEX(bom_parts!$H:$H,MATCH($D9,bom_parts!$A:$A,0))</x:f>
        <x:v>1.2</x:v>
      </x:c>
      <x:c r="H9" s="19">
        <x:f>INDEX(bom_parts!$I:$I,MATCH($D9,bom_parts!$A:$A,0))</x:f>
        <x:v>1</x:v>
      </x:c>
      <x:c r="I9" s="18" t="str">
        <x:f>INDEX(bom_parts!$J:$J,MATCH($D9,bom_parts!$A:$A,0))</x:f>
        <x:v>KR</x:v>
      </x:c>
      <x:c r="J9" s="18" t="str">
        <x:f>INDEX(bom_parts!$L:$L,MATCH($D9,bom_parts!$A:$A,0))</x:f>
        <x:v>casting</x:v>
      </x:c>
      <x:c r="K9" s="18" t="str">
        <x:f>INDEX(bom_parts!$N:$N,MATCH($D9,bom_parts!$A:$A,0))</x:f>
        <x:v>B</x:v>
      </x:c>
      <x:c r="L9" s="19">
        <x:f>SUMIFS(commodity_price!$H:$H,commodity_price!$A:$A,$F9,commodity_price!$B:$B,INDEX(scenarios!$H:$H,MATCH($A9,scenarios!$A:$A,0)))</x:f>
        <x:v>2200</x:v>
      </x:c>
      <x:c r="M9" s="20">
        <x:f>IF($F9="CU",INDEX(scenarios!$C:$C,MATCH($A9,scenarios!$A:$A,0)),IF($F9="AL",INDEX(scenarios!$D:$D,MATCH($A9,scenarios!$A:$A,0)),IF($F9="LI_CARB",INDEX(scenarios!$E:$E,MATCH($A9,scenarios!$A:$A,0)),0)))</x:f>
        <x:v>0.2</x:v>
      </x:c>
      <x:c r="N9" s="19">
        <x:f>($G9*$H9)*($L9/1000)</x:f>
        <x:v>2.64</x:v>
      </x:c>
      <x:c r="O9" s="19">
        <x:f>N9*(1+M9)</x:f>
        <x:v>3.168</x:v>
      </x:c>
      <x:c r="P9" s="19">
        <x:f>SUMIFS(process_energy_model!$B:$B,process_energy_model!$A:$A,$J9)</x:f>
        <x:v>0.45</x:v>
      </x:c>
      <x:c r="Q9" s="19">
        <x:f>SUMIFS(energy_price!$C:$C,energy_price!$A:$A,$I9,energy_price!$B:$B,INDEX(scenarios!$H:$H,MATCH($A9,scenarios!$A:$A,0)))</x:f>
        <x:v>0.12</x:v>
      </x:c>
      <x:c r="R9" s="19">
        <x:f>($G9*$H9)*P9*Q9</x:f>
        <x:v>0.0648</x:v>
      </x:c>
      <x:c r="S9" s="20">
        <x:f>INDEX(scenarios!$F:$F,MATCH($A9,scenarios!$A:$A,0))</x:f>
        <x:v>0.15</x:v>
      </x:c>
      <x:c r="T9" s="19">
        <x:f>R9*(1+S9)</x:f>
        <x:v>0.07451999999999999</x:v>
      </x:c>
      <x:c r="U9" s="21">
        <x:f>SUMIFS(regulation_events!$G:$G,regulation_events!$D:$D,$F9,regulation_events!$C:$C,$I9)</x:f>
        <x:v>0</x:v>
      </x:c>
      <x:c r="V9" s="19">
        <x:f>SUMIFS(country_risk!$G:$G,country_risk!$A:$A,$I9,country_risk!$B:$B,INDEX(scenarios!$H:$H,MATCH($A9,scenarios!$A:$A,0)))</x:f>
        <x:v>78</x:v>
      </x:c>
      <x:c r="W9" s="21">
        <x:f>SUMIFS(wave_model!$B:$B,wave_model!$A:$A,$K9)</x:f>
        <x:v>6</x:v>
      </x:c>
      <x:c r="X9" s="19">
        <x:f>SUMIFS(wave_model!$C:$C,wave_model!$A:$A,$K9)</x:f>
        <x:v>1.2</x:v>
      </x:c>
      <x:c r="Y9" s="19">
        <x:f>(O9+T9)*X9</x:f>
        <x:v>3.8910240000000003</x:v>
      </x:c>
      <x:c r="Z9" s="19">
        <x:f>N9+R9</x:f>
        <x:v>2.7048</x:v>
      </x:c>
      <x:c r="AA9" s="19">
        <x:f>Y9</x:f>
        <x:v>3.8910240000000003</x:v>
      </x:c>
      <x:c r="AB9" s="20">
        <x:f>IF(Z9=0,0,AA9/Z9-1)</x:f>
        <x:v>0.43856255545696543</x:v>
      </x:c>
      <x:c r="AC9" s="18" t="str">
        <x:f>IF(AB9&gt;0.1,"REVIEW","OK")</x:f>
        <x:v>REVIEW</x:v>
      </x:c>
    </x:row>
    <x:row r="10">
      <x:c r="A10" s="15" t="n">
        <x:v>3</x:v>
      </x:c>
      <x:c r="B10" s="18" t="str">
        <x:f>INDEX(scenarios!$B:$B,MATCH($A10,scenarios!$A:$A,0))</x:f>
        <x:v>Stress</x:v>
      </x:c>
      <x:c r="C10" s="18">
        <x:f>INDEX(bom_parts!$B:$B,MATCH($D10,bom_parts!$A:$A,0))</x:f>
        <x:v>1</x:v>
      </x:c>
      <x:c r="D10" s="15" t="n">
        <x:v>3</x:v>
      </x:c>
      <x:c r="E10" s="18" t="str">
        <x:f>INDEX(bom_parts!$C:$C,MATCH($D10,bom_parts!$A:$A,0))</x:f>
        <x:v>Cathode Material</x:v>
      </x:c>
      <x:c r="F10" s="18" t="str">
        <x:f>INDEX(bom_parts!$G:$G,MATCH($D10,bom_parts!$A:$A,0))</x:f>
        <x:v>LI_CARB</x:v>
      </x:c>
      <x:c r="G10" s="19">
        <x:f>INDEX(bom_parts!$H:$H,MATCH($D10,bom_parts!$A:$A,0))</x:f>
        <x:v>0.3</x:v>
      </x:c>
      <x:c r="H10" s="19">
        <x:f>INDEX(bom_parts!$I:$I,MATCH($D10,bom_parts!$A:$A,0))</x:f>
        <x:v>1</x:v>
      </x:c>
      <x:c r="I10" s="18" t="str">
        <x:f>INDEX(bom_parts!$J:$J,MATCH($D10,bom_parts!$A:$A,0))</x:f>
        <x:v>AU</x:v>
      </x:c>
      <x:c r="J10" s="18" t="str">
        <x:f>INDEX(bom_parts!$L:$L,MATCH($D10,bom_parts!$A:$A,0))</x:f>
        <x:v>assembly</x:v>
      </x:c>
      <x:c r="K10" s="18" t="str">
        <x:f>INDEX(bom_parts!$N:$N,MATCH($D10,bom_parts!$A:$A,0))</x:f>
        <x:v>A</x:v>
      </x:c>
      <x:c r="L10" s="19">
        <x:f>SUMIFS(commodity_price!$H:$H,commodity_price!$A:$A,$F10,commodity_price!$B:$B,INDEX(scenarios!$H:$H,MATCH($A10,scenarios!$A:$A,0)))</x:f>
        <x:v>13000</x:v>
      </x:c>
      <x:c r="M10" s="20">
        <x:f>IF($F10="CU",INDEX(scenarios!$C:$C,MATCH($A10,scenarios!$A:$A,0)),IF($F10="AL",INDEX(scenarios!$D:$D,MATCH($A10,scenarios!$A:$A,0)),IF($F10="LI_CARB",INDEX(scenarios!$E:$E,MATCH($A10,scenarios!$A:$A,0)),0)))</x:f>
        <x:v>0.4</x:v>
      </x:c>
      <x:c r="N10" s="19">
        <x:f>($G10*$H10)*($L10/1000)</x:f>
        <x:v>3.9</x:v>
      </x:c>
      <x:c r="O10" s="19">
        <x:f>N10*(1+M10)</x:f>
        <x:v>5.46</x:v>
      </x:c>
      <x:c r="P10" s="19">
        <x:f>SUMIFS(process_energy_model!$B:$B,process_energy_model!$A:$A,$J10)</x:f>
        <x:v>0.15</x:v>
      </x:c>
      <x:c r="Q10" s="19">
        <x:f>SUMIFS(energy_price!$C:$C,energy_price!$A:$A,$I10,energy_price!$B:$B,INDEX(scenarios!$H:$H,MATCH($A10,scenarios!$A:$A,0)))</x:f>
        <x:v>0</x:v>
      </x:c>
      <x:c r="R10" s="19">
        <x:f>($G10*$H10)*P10*Q10</x:f>
        <x:v>0</x:v>
      </x:c>
      <x:c r="S10" s="20">
        <x:f>INDEX(scenarios!$F:$F,MATCH($A10,scenarios!$A:$A,0))</x:f>
        <x:v>0.15</x:v>
      </x:c>
      <x:c r="T10" s="19">
        <x:f>R10*(1+S10)</x:f>
        <x:v>0</x:v>
      </x:c>
      <x:c r="U10" s="21">
        <x:f>SUMIFS(regulation_events!$G:$G,regulation_events!$D:$D,$F10,regulation_events!$C:$C,$I10)</x:f>
        <x:v>0</x:v>
      </x:c>
      <x:c r="V10" s="19">
        <x:f>SUMIFS(country_risk!$G:$G,country_risk!$A:$A,$I10,country_risk!$B:$B,INDEX(scenarios!$H:$H,MATCH($A10,scenarios!$A:$A,0)))</x:f>
        <x:v>56</x:v>
      </x:c>
      <x:c r="W10" s="21">
        <x:f>SUMIFS(wave_model!$B:$B,wave_model!$A:$A,$K10)</x:f>
        <x:v>4</x:v>
      </x:c>
      <x:c r="X10" s="19">
        <x:f>SUMIFS(wave_model!$C:$C,wave_model!$A:$A,$K10)</x:f>
        <x:v>1.1</x:v>
      </x:c>
      <x:c r="Y10" s="19">
        <x:f>(O10+T10)*X10</x:f>
        <x:v>6.006</x:v>
      </x:c>
      <x:c r="Z10" s="19">
        <x:f>N10+R10</x:f>
        <x:v>3.9</x:v>
      </x:c>
      <x:c r="AA10" s="19">
        <x:f>Y10</x:f>
        <x:v>6.006</x:v>
      </x:c>
      <x:c r="AB10" s="20">
        <x:f>IF(Z10=0,0,AA10/Z10-1)</x:f>
        <x:v>0.54</x:v>
      </x:c>
      <x:c r="AC10" s="18" t="str">
        <x:f>IF(AB10&gt;0.1,"REVIEW","OK")</x:f>
        <x:v>REVIEW</x:v>
      </x:c>
    </x:row>
  </x:sheetData>
  <x:conditionalFormatting sqref="AB2:AB100">
    <x:cfRule type="cellIs" dxfId="0" priority="1" operator="greaterThan">
      <x:formula>0.10</x:formula>
    </x:cfRule>
  </x:conditionalFormatting>
  <x:conditionalFormatting sqref="AC2:AC100">
    <x:cfRule type="cellIs" dxfId="1" priority="2" operator="equal">
      <x:formula>"REVIEW"</x:formula>
    </x:cfRule>
  </x:conditionalFormatting>
  <x:pageMargins left="0.7" right="0.7" top="0.75" bottom="0.75" header="0.3" footer="0.3"/>
  <x:legacyDrawing xmlns:r="http://schemas.openxmlformats.org/officeDocument/2006/relationships" r:id="R76396cfe9aae47c9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18" customWidth="1"/>
    <x:col min="3" max="3" width="32" customWidth="1"/>
  </x:cols>
  <x:sheetData>
    <x:row r="1" ht="22" customHeight="1">
      <x:c r="A1" s="4" t="inlineStr">
        <x:is>
          <x:t xml:space="preserve">Metric</x:t>
        </x:is>
      </x:c>
      <x:c r="B1" s="4" t="inlineStr">
        <x:is>
          <x:t xml:space="preserve">Value</x:t>
        </x:is>
      </x:c>
      <x:c r="C1" s="4" t="inlineStr">
        <x:is>
          <x:t xml:space="preserve">Unit / Notes</x:t>
        </x:is>
      </x:c>
    </x:row>
    <x:row r="2" ht="24" customHeight="1">
      <x:c r="A2" s="22" t="inlineStr">
        <x:is>
          <x:t xml:space="preserve">Selected scenario_id</x:t>
        </x:is>
      </x:c>
      <x:c r="B2" s="23" t="n">
        <x:v>2</x:v>
      </x:c>
      <x:c r="C2" s="5" t="inlineStr">
        <x:is>
          <x:t xml:space="preserve">Edit B2</x:t>
        </x:is>
      </x:c>
    </x:row>
    <x:row r="3" ht="24" customHeight="1">
      <x:c r="A3" s="22" t="inlineStr">
        <x:is>
          <x:t xml:space="preserve">Scenario name</x:t>
        </x:is>
      </x:c>
      <x:c r="B3" s="24" t="str">
        <x:f>INDEX(scenarios!$B:$B,MATCH($B$2,scenarios!$A:$A,0))</x:f>
        <x:v>Shock</x:v>
      </x:c>
      <x:c r="C3" s="5" t="inlineStr">
        <x:is>
          <x:t xml:space="preserve"/>
        </x:is>
      </x:c>
    </x:row>
    <x:row r="4" ht="24" customHeight="1">
      <x:c r="A4" s="22" t="inlineStr">
        <x:is>
          <x:t xml:space="preserve">Total base cost</x:t>
        </x:is>
      </x:c>
      <x:c r="B4" s="25">
        <x:f>SUMIFS(calc_results!$Z:$Z,calc_results!$A:$A,$B$2)</x:f>
        <x:v>10.8673</x:v>
      </x:c>
      <x:c r="C4" s="5" t="inlineStr">
        <x:is>
          <x:t xml:space="preserve">USD</x:t>
        </x:is>
      </x:c>
    </x:row>
    <x:row r="5" ht="24" customHeight="1">
      <x:c r="A5" s="22" t="inlineStr">
        <x:is>
          <x:t xml:space="preserve">Total scenario cost</x:t>
        </x:is>
      </x:c>
      <x:c r="B5" s="25">
        <x:f>SUMIFS(calc_results!$AA:$AA,calc_results!$A:$A,$B$2)</x:f>
        <x:v>14.526905900000001</x:v>
      </x:c>
      <x:c r="C5" s="5" t="inlineStr">
        <x:is>
          <x:t xml:space="preserve">USD</x:t>
        </x:is>
      </x:c>
    </x:row>
    <x:row r="6" ht="24" customHeight="1">
      <x:c r="A6" s="22" t="inlineStr">
        <x:is>
          <x:t xml:space="preserve">Cost delta %</x:t>
        </x:is>
      </x:c>
      <x:c r="B6" s="26">
        <x:f>IF(B5=0,0,B6/B5-1)</x:f>
      </x:c>
      <x:c r="C6" s="5" t="inlineStr">
        <x:is>
          <x:t xml:space="preserve">scenario vs base</x:t>
        </x:is>
      </x:c>
    </x:row>
    <x:row r="7" ht="24" customHeight="1">
      <x:c r="A7" s="22" t="inlineStr">
        <x:is>
          <x:t xml:space="preserve">Average risk score</x:t>
        </x:is>
      </x:c>
      <x:c r="B7" s="27">
        <x:f>IF(COUNTIF(calc_results!$A:$A,$B$2)=0,0,SUMIFS(calc_results!$V:$V,calc_results!$A:$A,$B$2)/COUNTIF(calc_results!$A:$A,$B$2))</x:f>
        <x:v>91.66666666666667</x:v>
      </x:c>
      <x:c r="C7" s="5" t="inlineStr">
        <x:is>
          <x:t xml:space="preserve">country risk proxy</x:t>
        </x:is>
      </x:c>
    </x:row>
    <x:row r="8" ht="24" customHeight="1">
      <x:c r="A8" s="22" t="inlineStr">
        <x:is>
          <x:t xml:space="preserve">Max regulation severity</x:t>
        </x:is>
      </x:c>
      <x:c r="B8" s="28">
        <x:f>MAX(calc_results!$U$2:$U$100)</x:f>
        <x:v>2</x:v>
      </x:c>
      <x:c r="C8" s="5" t="inlineStr">
        <x:is>
          <x:t xml:space="preserve">event severity</x:t>
        </x:is>
      </x:c>
    </x:row>
    <x:row r="9" ht="24" customHeight="1">
      <x:c r="A9" s="22" t="inlineStr">
        <x:is>
          <x:t xml:space="preserve">Avg delay months</x:t>
        </x:is>
      </x:c>
      <x:c r="B9" s="27">
        <x:f>IF(COUNTIF(calc_results!$A:$A,$B$2)=0,0,SUMIFS(calc_results!$W:$W,calc_results!$A:$A,$B$2)/COUNTIF(calc_results!$A:$A,$B$2))</x:f>
        <x:v>4.666666666666667</x:v>
      </x:c>
      <x:c r="C9" s="5" t="inlineStr">
        <x:is>
          <x:t xml:space="preserve">months</x:t>
        </x:is>
      </x:c>
    </x:row>
    <x:row r="10" ht="24" customHeight="1">
      <x:c r="A10" s="22" t="inlineStr">
        <x:is>
          <x:t xml:space="preserve">Recommended action</x:t>
        </x:is>
      </x:c>
      <x:c r="B10" s="24" t="str">
        <x:f>IF(B7&gt;100,"Switch + Pass-through",IF(B7&gt;70,"Monitor + Partial pass","Hold"))</x:f>
        <x:v>Monitor + Partial pass</x:v>
      </x:c>
      <x:c r="C10" s="5" t="inlineStr">
        <x:is>
          <x:t xml:space="preserve">rule-based</x:t>
        </x:is>
      </x:c>
    </x:row>
    <x:row r="11" ht="24" customHeight="1"/>
    <x:row r="12" ht="24" customHeight="1"/>
    <x:row r="13" ht="24" customHeight="1"/>
    <x:row r="14" ht="24" customHeight="1"/>
    <x:row r="15" ht="24" customHeight="1"/>
    <x:row r="16" ht="24" customHeight="1"/>
    <x:row r="17" ht="24" customHeight="1"/>
    <x:row r="18" ht="24" customHeight="1"/>
    <x:row r="19" ht="24" customHeight="1"/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14" customWidth="1"/>
    <x:col min="4" max="4" width="28" customWidth="1"/>
  </x:cols>
  <x:sheetData>
    <x:row r="1" ht="22" customHeight="1">
      <x:c r="A1" s="4" t="inlineStr">
        <x:is>
          <x:t xml:space="preserve">part_id</x:t>
        </x:is>
      </x:c>
      <x:c r="B1" s="4" t="inlineStr">
        <x:is>
          <x:t xml:space="preserve">substance</x:t>
        </x:is>
      </x:c>
      <x:c r="C1" s="4" t="inlineStr">
        <x:is>
          <x:t xml:space="preserve">wt_percent</x:t>
        </x:is>
      </x:c>
      <x:c r="D1" s="4" t="inlineStr">
        <x:is>
          <x:t xml:space="preserve">source_note</x:t>
        </x:is>
      </x:c>
    </x:row>
    <x:row r="2">
      <x:c r="A2" s="5" t="n">
        <x:v>1</x:v>
      </x:c>
      <x:c r="B2" s="5" t="inlineStr">
        <x:is>
          <x:t xml:space="preserve">Copper</x:t>
        </x:is>
      </x:c>
      <x:c r="C2" s="16" t="n">
        <x:v>0.85</x:v>
      </x:c>
      <x:c r="D2" s="5" t="inlineStr">
        <x:is>
          <x:t xml:space="preserve">Illustrative MDS extract</x:t>
        </x:is>
      </x:c>
    </x:row>
    <x:row r="3">
      <x:c r="A3" s="5" t="n">
        <x:v>1</x:v>
      </x:c>
      <x:c r="B3" s="5" t="inlineStr">
        <x:is>
          <x:t xml:space="preserve">Polymer</x:t>
        </x:is>
      </x:c>
      <x:c r="C3" s="16" t="n">
        <x:v>0.15</x:v>
      </x:c>
      <x:c r="D3" s="5" t="inlineStr">
        <x:is>
          <x:t xml:space="preserve">Illustrative MDS extract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6" customWidth="1"/>
    <x:col min="3" max="3" width="12" customWidth="1"/>
    <x:col min="4" max="4" width="26" customWidth="1"/>
  </x:cols>
  <x:sheetData>
    <x:row r="1" ht="22" customHeight="1">
      <x:c r="A1" s="4" t="inlineStr">
        <x:is>
          <x:t xml:space="preserve">substance</x:t>
        </x:is>
      </x:c>
      <x:c r="B1" s="4" t="inlineStr">
        <x:is>
          <x:t xml:space="preserve">commodity_code</x:t>
        </x:is>
      </x:c>
      <x:c r="C1" s="4" t="inlineStr">
        <x:is>
          <x:t xml:space="preserve">factor</x:t>
        </x:is>
      </x:c>
      <x:c r="D1" s="4" t="inlineStr">
        <x:is>
          <x:t xml:space="preserve">notes</x:t>
        </x:is>
      </x:c>
    </x:row>
    <x:row r="2">
      <x:c r="A2" s="5" t="inlineStr">
        <x:is>
          <x:t xml:space="preserve">Copper</x:t>
        </x:is>
      </x:c>
      <x:c r="B2" s="5" t="inlineStr">
        <x:is>
          <x:t xml:space="preserve">CU</x:t>
        </x:is>
      </x:c>
      <x:c r="C2" s="5" t="n">
        <x:v>1</x:v>
      </x:c>
      <x:c r="D2" s="5" t="inlineStr">
        <x:is>
          <x:t xml:space="preserve">Direct mapping</x:t>
        </x:is>
      </x:c>
    </x:row>
    <x:row r="3">
      <x:c r="A3" s="5" t="inlineStr">
        <x:is>
          <x:t xml:space="preserve">Polymer</x:t>
        </x:is>
      </x:c>
      <x:c r="B3" s="5" t="inlineStr">
        <x:is>
          <x:t xml:space="preserve">N/A</x:t>
        </x:is>
      </x:c>
      <x:c r="C3" s="5" t="n">
        <x:v>0</x:v>
      </x:c>
      <x:c r="D3" s="5" t="inlineStr">
        <x:is>
          <x:t xml:space="preserve">No direct commodity mapping in MVP</x:t>
        </x:is>
      </x:c>
    </x:row>
  </x:sheetData>
  <x:pageMargins left="0.7" right="0.7" top="0.75" bottom="0.75" header="0.3" footer="0.3"/>
</x:worksheet>
</file>